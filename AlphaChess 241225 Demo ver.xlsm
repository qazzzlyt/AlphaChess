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07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azzz\Desktop\文件整理\Alphayi\AlphaChess 241225 Demo ver\"/>
    </mc:Choice>
  </mc:AlternateContent>
  <xr:revisionPtr revIDLastSave="0" documentId="13_ncr:1_{08291AC5-002A-455A-886E-B254F20917BA}" xr6:coauthVersionLast="47" xr6:coauthVersionMax="47" xr10:uidLastSave="{00000000-0000-0000-0000-000000000000}"/>
  <bookViews>
    <workbookView xWindow="-110" yWindow="-110" windowWidth="38620" windowHeight="21220" xr2:uid="{00000000-000D-0000-FFFF-FFFF00000000}"/>
  </bookViews>
  <sheets>
    <sheet name="AlphaChess" sheetId="1" r:id="rId1"/>
    <sheet name="posnow" sheetId="23" r:id="rId2"/>
    <sheet name="hp1" sheetId="20" r:id="rId3"/>
    <sheet name="hp3" sheetId="22" r:id="rId4"/>
    <sheet name="hp2" sheetId="21" r:id="rId5"/>
    <sheet name="c5id" sheetId="25" r:id="rId6"/>
    <sheet name="onhand" sheetId="24" r:id="rId7"/>
    <sheet name="Play" sheetId="18" state="hidden" r:id="rId8"/>
    <sheet name="crl" sheetId="16" r:id="rId9"/>
    <sheet name="cinfo" sheetId="8" r:id="rId10"/>
    <sheet name="cpl" sheetId="11" r:id="rId11"/>
    <sheet name="tinfo" sheetId="12" r:id="rId12"/>
    <sheet name="cal" sheetId="26" r:id="rId13"/>
    <sheet name="10088sample" sheetId="2" state="hidden" r:id="rId14"/>
    <sheet name="instr sample" sheetId="3" state="hidden" r:id="rId15"/>
    <sheet name="10088sample2" sheetId="10" state="hidden" r:id="rId16"/>
    <sheet name="log210801" sheetId="13" state="hidden" r:id="rId17"/>
    <sheet name="log210802" sheetId="14" state="hidden" r:id="rId18"/>
    <sheet name="log2108022" sheetId="15" state="hidden" r:id="rId19"/>
  </sheets>
  <functionGroups builtInGroupCount="19"/>
  <definedNames>
    <definedName name="_xlnm._FilterDatabase" localSheetId="0" hidden="1">AlphaChess!$AC$1:$AC$58</definedName>
    <definedName name="_xlnm._FilterDatabase" localSheetId="9" hidden="1">cinfo!$A$1:$I$58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5" i="26" l="1" a="1"/>
  <c r="AK5" i="26" s="1"/>
  <c r="AJ5" i="26" a="1"/>
  <c r="AJ5" i="26" s="1"/>
  <c r="AI5" i="26" a="1"/>
  <c r="AI5" i="26" s="1"/>
  <c r="AH5" i="26" a="1"/>
  <c r="AH5" i="26" s="1"/>
  <c r="AG5" i="26" a="1"/>
  <c r="AG5" i="26" s="1"/>
  <c r="AF5" i="26" a="1"/>
  <c r="AF5" i="26" s="1"/>
  <c r="AE5" i="26" a="1"/>
  <c r="AE5" i="26" s="1"/>
  <c r="AD5" i="26" a="1"/>
  <c r="AD5" i="26" s="1"/>
  <c r="AC5" i="26" a="1"/>
  <c r="AC5" i="26" s="1"/>
  <c r="AB5" i="26" a="1"/>
  <c r="AB5" i="26" s="1"/>
  <c r="AA5" i="26" a="1"/>
  <c r="AA5" i="26" s="1"/>
  <c r="Z5" i="26" a="1"/>
  <c r="Z5" i="26" s="1"/>
  <c r="Y5" i="26" a="1"/>
  <c r="Y5" i="26" s="1"/>
  <c r="X5" i="26" a="1"/>
  <c r="X5" i="26" s="1"/>
  <c r="W5" i="26" a="1"/>
  <c r="W5" i="26" s="1"/>
  <c r="V5" i="26" a="1"/>
  <c r="V5" i="26" s="1"/>
  <c r="U5" i="26" a="1"/>
  <c r="U5" i="26" s="1"/>
  <c r="T5" i="26" a="1"/>
  <c r="T5" i="26" s="1"/>
  <c r="S5" i="26" a="1"/>
  <c r="S5" i="26" s="1"/>
  <c r="R5" i="26" a="1"/>
  <c r="R5" i="26" s="1"/>
  <c r="Q5" i="26" a="1"/>
  <c r="Q5" i="26" s="1"/>
  <c r="P5" i="26" a="1"/>
  <c r="P5" i="26" s="1"/>
  <c r="O5" i="26" a="1"/>
  <c r="O5" i="26" s="1"/>
  <c r="N5" i="26" a="1"/>
  <c r="N5" i="26" s="1"/>
  <c r="M5" i="26" a="1"/>
  <c r="M5" i="26" s="1"/>
  <c r="L5" i="26" a="1"/>
  <c r="L5" i="26" s="1"/>
  <c r="K5" i="26" a="1"/>
  <c r="K5" i="26" s="1"/>
  <c r="J5" i="26" a="1"/>
  <c r="J5" i="26" s="1"/>
  <c r="I5" i="26" a="1"/>
  <c r="I5" i="26" s="1"/>
  <c r="H5" i="26" a="1"/>
  <c r="H5" i="26" s="1"/>
  <c r="G5" i="26" a="1"/>
  <c r="G5" i="26" s="1"/>
  <c r="F5" i="26" a="1"/>
  <c r="F5" i="26" s="1"/>
  <c r="E5" i="26" a="1"/>
  <c r="E5" i="26" s="1"/>
  <c r="D5" i="26" a="1"/>
  <c r="D5" i="26" s="1"/>
  <c r="C5" i="26" a="1"/>
  <c r="C5" i="26" s="1"/>
  <c r="B5" i="26" a="1"/>
  <c r="B5" i="26" s="1"/>
  <c r="A5" i="26" a="1"/>
  <c r="A5" i="26" s="1"/>
  <c r="AK2" i="26"/>
  <c r="AJ2" i="26"/>
  <c r="AI2" i="26"/>
  <c r="AH2" i="26"/>
  <c r="AG2" i="26"/>
  <c r="AF2" i="26"/>
  <c r="AE2" i="26"/>
  <c r="AD2" i="26"/>
  <c r="AC2" i="26"/>
  <c r="AB2" i="26"/>
  <c r="AA2" i="26"/>
  <c r="Z2" i="26"/>
  <c r="Y2" i="26"/>
  <c r="X2" i="26"/>
  <c r="W2" i="26"/>
  <c r="V2" i="26"/>
  <c r="U2" i="26"/>
  <c r="T2" i="26"/>
  <c r="S2" i="26"/>
  <c r="R2" i="26"/>
  <c r="Q2" i="26"/>
  <c r="P2" i="26"/>
  <c r="O2" i="26"/>
  <c r="N2" i="26"/>
  <c r="M2" i="26"/>
  <c r="L2" i="26"/>
  <c r="K2" i="26"/>
  <c r="J2" i="26"/>
  <c r="I2" i="26"/>
  <c r="H2" i="26"/>
  <c r="G2" i="26"/>
  <c r="F2" i="26"/>
  <c r="E2" i="26"/>
  <c r="D2" i="26"/>
  <c r="C2" i="26"/>
  <c r="B2" i="26"/>
  <c r="A2" i="26"/>
  <c r="Q3" i="1"/>
  <c r="Q4" i="1"/>
  <c r="Q5" i="1"/>
  <c r="Q6" i="1"/>
  <c r="Q7" i="1"/>
  <c r="Q8" i="1"/>
  <c r="Q9" i="1"/>
  <c r="Q10" i="1"/>
  <c r="Q11" i="1"/>
  <c r="Q12" i="1"/>
  <c r="Q13" i="1"/>
  <c r="Q2" i="1"/>
  <c r="K21" i="1"/>
  <c r="K22" i="1"/>
  <c r="K23" i="1"/>
  <c r="K24" i="1"/>
  <c r="P25" i="1"/>
  <c r="K25" i="1" s="1"/>
  <c r="P26" i="1"/>
  <c r="K26" i="1" s="1"/>
  <c r="P27" i="1"/>
  <c r="K27" i="1" s="1"/>
  <c r="P28" i="1"/>
  <c r="K28" i="1" s="1"/>
  <c r="C8" i="1"/>
  <c r="BG60" i="16"/>
  <c r="DM43" i="16" s="1"/>
  <c r="BF60" i="16"/>
  <c r="DL40" i="16" s="1"/>
  <c r="BE60" i="16"/>
  <c r="BD60" i="16"/>
  <c r="DJ44" i="16" s="1"/>
  <c r="BC60" i="16"/>
  <c r="DI54" i="16" s="1"/>
  <c r="BB60" i="16"/>
  <c r="DH56" i="16" s="1"/>
  <c r="BA60" i="16"/>
  <c r="DG42" i="16" s="1"/>
  <c r="AZ60" i="16"/>
  <c r="DF47" i="16" s="1"/>
  <c r="AY60" i="16"/>
  <c r="AX60" i="16"/>
  <c r="AW60" i="16"/>
  <c r="DC53" i="16" s="1"/>
  <c r="AV60" i="16"/>
  <c r="DB54" i="16" s="1"/>
  <c r="AU60" i="16"/>
  <c r="DA40" i="16" s="1"/>
  <c r="AT60" i="16"/>
  <c r="CZ49" i="16" s="1"/>
  <c r="AS60" i="16"/>
  <c r="AR60" i="16"/>
  <c r="CX41" i="16" s="1"/>
  <c r="AQ60" i="16"/>
  <c r="CW55" i="16" s="1"/>
  <c r="AP60" i="16"/>
  <c r="CV56" i="16" s="1"/>
  <c r="AO60" i="16"/>
  <c r="CU49" i="16" s="1"/>
  <c r="AN60" i="16"/>
  <c r="CT45" i="16" s="1"/>
  <c r="AM60" i="16"/>
  <c r="CS57" i="16" s="1"/>
  <c r="AL60" i="16"/>
  <c r="CR57" i="16" s="1"/>
  <c r="AK60" i="16"/>
  <c r="CQ54" i="16" s="1"/>
  <c r="AJ60" i="16"/>
  <c r="CP58" i="16" s="1"/>
  <c r="AI60" i="16"/>
  <c r="CO45" i="16" s="1"/>
  <c r="AH60" i="16"/>
  <c r="CN47" i="16" s="1"/>
  <c r="AG60" i="16"/>
  <c r="AF60" i="16"/>
  <c r="CL43" i="16" s="1"/>
  <c r="AE60" i="16"/>
  <c r="CK56" i="16" s="1"/>
  <c r="AD60" i="16"/>
  <c r="CJ42" i="16" s="1"/>
  <c r="AC60" i="16"/>
  <c r="CI47" i="16" s="1"/>
  <c r="AB60" i="16"/>
  <c r="CH49" i="16" s="1"/>
  <c r="AA60" i="16"/>
  <c r="Z60" i="16"/>
  <c r="Y60" i="16"/>
  <c r="CE55" i="16" s="1"/>
  <c r="X60" i="16"/>
  <c r="CD56" i="16" s="1"/>
  <c r="W60" i="16"/>
  <c r="CC41" i="16" s="1"/>
  <c r="V60" i="16"/>
  <c r="CB45" i="16" s="1"/>
  <c r="U60" i="16"/>
  <c r="T60" i="16"/>
  <c r="BZ54" i="16" s="1"/>
  <c r="S60" i="16"/>
  <c r="BY54" i="16" s="1"/>
  <c r="R60" i="16"/>
  <c r="BX56" i="16" s="1"/>
  <c r="Q60" i="16"/>
  <c r="BW43" i="16" s="1"/>
  <c r="P60" i="16"/>
  <c r="BV42" i="16" s="1"/>
  <c r="O60" i="16"/>
  <c r="N60" i="16"/>
  <c r="BT54" i="16" s="1"/>
  <c r="M60" i="16"/>
  <c r="BS56" i="16" s="1"/>
  <c r="L60" i="16"/>
  <c r="BR54" i="16" s="1"/>
  <c r="K60" i="16"/>
  <c r="BQ57" i="16" s="1"/>
  <c r="J60" i="16"/>
  <c r="BP49" i="16" s="1"/>
  <c r="I60" i="16"/>
  <c r="BO2" i="16" s="1"/>
  <c r="H60" i="16"/>
  <c r="BN48" i="16" s="1"/>
  <c r="G60" i="16"/>
  <c r="BM55" i="16" s="1"/>
  <c r="F60" i="16"/>
  <c r="BL56" i="16" s="1"/>
  <c r="E60" i="16"/>
  <c r="BK47" i="16" s="1"/>
  <c r="D60" i="16"/>
  <c r="BJ45" i="16" s="1"/>
  <c r="C60" i="16"/>
  <c r="BI43" i="16" s="1"/>
  <c r="A16" i="1"/>
  <c r="C7" i="1"/>
  <c r="B747" i="13"/>
  <c r="B743" i="13"/>
  <c r="B739" i="13"/>
  <c r="B735" i="13"/>
  <c r="B731" i="13"/>
  <c r="B727" i="13"/>
  <c r="B723" i="13"/>
  <c r="B719" i="13"/>
  <c r="B715" i="13"/>
  <c r="B711" i="13"/>
  <c r="B707" i="13"/>
  <c r="B703" i="13"/>
  <c r="B699" i="13"/>
  <c r="B695" i="13"/>
  <c r="B691" i="13"/>
  <c r="B687" i="13"/>
  <c r="B683" i="13"/>
  <c r="B679" i="13"/>
  <c r="B675" i="13"/>
  <c r="B671" i="13"/>
  <c r="B667" i="13"/>
  <c r="B663" i="13"/>
  <c r="B659" i="13"/>
  <c r="B655" i="13"/>
  <c r="B651" i="13"/>
  <c r="B647" i="13"/>
  <c r="B643" i="13"/>
  <c r="B639" i="13"/>
  <c r="B635" i="13"/>
  <c r="B631" i="13"/>
  <c r="B627" i="13"/>
  <c r="B623" i="13"/>
  <c r="B619" i="13"/>
  <c r="B615" i="13"/>
  <c r="B611" i="13"/>
  <c r="B607" i="13"/>
  <c r="B603" i="13"/>
  <c r="B599" i="13"/>
  <c r="B595" i="13"/>
  <c r="B591" i="13"/>
  <c r="B587" i="13"/>
  <c r="B583" i="13"/>
  <c r="B579" i="13"/>
  <c r="B575" i="13"/>
  <c r="B571" i="13"/>
  <c r="B567" i="13"/>
  <c r="B563" i="13"/>
  <c r="B559" i="13"/>
  <c r="B555" i="13"/>
  <c r="B551" i="13"/>
  <c r="B547" i="13"/>
  <c r="B543" i="13"/>
  <c r="B539" i="13"/>
  <c r="B535" i="13"/>
  <c r="B531" i="13"/>
  <c r="B527" i="13"/>
  <c r="B523" i="13"/>
  <c r="B519" i="13"/>
  <c r="B515" i="13"/>
  <c r="B511" i="13"/>
  <c r="B507" i="13"/>
  <c r="B503" i="13"/>
  <c r="B499" i="13"/>
  <c r="B495" i="13"/>
  <c r="B491" i="13"/>
  <c r="B487" i="13"/>
  <c r="B483" i="13"/>
  <c r="B479" i="13"/>
  <c r="B475" i="13"/>
  <c r="B259" i="13"/>
  <c r="B255" i="13"/>
  <c r="B251" i="13"/>
  <c r="B247" i="13"/>
  <c r="B239" i="13"/>
  <c r="B235" i="13"/>
  <c r="B227" i="13"/>
  <c r="B223" i="13"/>
  <c r="B219" i="13"/>
  <c r="B215" i="13"/>
  <c r="B211" i="13"/>
  <c r="B207" i="13"/>
  <c r="B203" i="13"/>
  <c r="B183" i="13"/>
  <c r="B179" i="13"/>
  <c r="B159" i="13"/>
  <c r="B155" i="13"/>
  <c r="B151" i="13"/>
  <c r="B147" i="13"/>
  <c r="B143" i="13"/>
  <c r="B123" i="13"/>
  <c r="B119" i="13"/>
  <c r="B115" i="13"/>
  <c r="B111" i="13"/>
  <c r="AK7" i="26" l="1"/>
  <c r="AI7" i="26"/>
  <c r="AF7" i="26"/>
  <c r="AD7" i="26"/>
  <c r="AC7" i="26"/>
  <c r="AA7" i="26"/>
  <c r="Y7" i="26"/>
  <c r="W7" i="26"/>
  <c r="U7" i="26"/>
  <c r="R7" i="26"/>
  <c r="P7" i="26"/>
  <c r="O7" i="26"/>
  <c r="L7" i="26"/>
  <c r="K7" i="26"/>
  <c r="J7" i="26"/>
  <c r="I7" i="26"/>
  <c r="H7" i="26"/>
  <c r="G7" i="26"/>
  <c r="F7" i="26"/>
  <c r="E7" i="26"/>
  <c r="D7" i="26"/>
  <c r="C7" i="26"/>
  <c r="B7" i="26"/>
  <c r="A7" i="26"/>
  <c r="M7" i="26"/>
  <c r="AJ7" i="26"/>
  <c r="AH7" i="26"/>
  <c r="AG7" i="26"/>
  <c r="AE7" i="26"/>
  <c r="AB7" i="26"/>
  <c r="Z7" i="26"/>
  <c r="X7" i="26"/>
  <c r="V7" i="26"/>
  <c r="T7" i="26"/>
  <c r="S7" i="26"/>
  <c r="Q7" i="26"/>
  <c r="N7" i="26"/>
  <c r="DH58" i="16"/>
  <c r="DF2" i="16"/>
  <c r="BV2" i="16"/>
  <c r="CE58" i="16"/>
  <c r="CQ56" i="16"/>
  <c r="CT55" i="16"/>
  <c r="CW54" i="16"/>
  <c r="CZ53" i="16"/>
  <c r="BK51" i="16"/>
  <c r="BW47" i="16"/>
  <c r="CE43" i="16"/>
  <c r="CZ2" i="16"/>
  <c r="BP2" i="16"/>
  <c r="BX58" i="16"/>
  <c r="CE57" i="16"/>
  <c r="CH56" i="16"/>
  <c r="CK55" i="16"/>
  <c r="CN54" i="16"/>
  <c r="CO53" i="16"/>
  <c r="DA49" i="16"/>
  <c r="DM45" i="16"/>
  <c r="CT2" i="16"/>
  <c r="BJ2" i="16"/>
  <c r="BQ58" i="16"/>
  <c r="BV57" i="16"/>
  <c r="BY56" i="16"/>
  <c r="CB55" i="16"/>
  <c r="CE54" i="16"/>
  <c r="BW53" i="16"/>
  <c r="CI49" i="16"/>
  <c r="CU45" i="16"/>
  <c r="BW42" i="16"/>
  <c r="CN2" i="16"/>
  <c r="BJ58" i="16"/>
  <c r="BM57" i="16"/>
  <c r="BP56" i="16"/>
  <c r="BS55" i="16"/>
  <c r="BV54" i="16"/>
  <c r="DM51" i="16"/>
  <c r="BQ49" i="16"/>
  <c r="CC45" i="16"/>
  <c r="DF41" i="16"/>
  <c r="CH2" i="16"/>
  <c r="DA58" i="16"/>
  <c r="DG57" i="16"/>
  <c r="DI56" i="16"/>
  <c r="DL55" i="16"/>
  <c r="BJ55" i="16"/>
  <c r="BM54" i="16"/>
  <c r="CU51" i="16"/>
  <c r="DG47" i="16"/>
  <c r="BK45" i="16"/>
  <c r="CK41" i="16"/>
  <c r="DL2" i="16"/>
  <c r="CB2" i="16"/>
  <c r="CT58" i="16"/>
  <c r="CZ57" i="16"/>
  <c r="CZ56" i="16"/>
  <c r="DC55" i="16"/>
  <c r="DF54" i="16"/>
  <c r="DI53" i="16"/>
  <c r="CC51" i="16"/>
  <c r="CO47" i="16"/>
  <c r="CZ43" i="16"/>
  <c r="CF4" i="16"/>
  <c r="CF6" i="16"/>
  <c r="CF8" i="16"/>
  <c r="CF3" i="16"/>
  <c r="CF5" i="16"/>
  <c r="CF7" i="16"/>
  <c r="CF9" i="16"/>
  <c r="CF10" i="16"/>
  <c r="CF12" i="16"/>
  <c r="CF14" i="16"/>
  <c r="CF16" i="16"/>
  <c r="CF11" i="16"/>
  <c r="CF13" i="16"/>
  <c r="CF21" i="16"/>
  <c r="CF15" i="16"/>
  <c r="CF17" i="16"/>
  <c r="CF18" i="16"/>
  <c r="CF19" i="16"/>
  <c r="CF20" i="16"/>
  <c r="CF22" i="16"/>
  <c r="CF26" i="16"/>
  <c r="CF28" i="16"/>
  <c r="CF30" i="16"/>
  <c r="CF32" i="16"/>
  <c r="CF23" i="16"/>
  <c r="CF25" i="16"/>
  <c r="CF27" i="16"/>
  <c r="CF29" i="16"/>
  <c r="CF31" i="16"/>
  <c r="CF24" i="16"/>
  <c r="CF34" i="16"/>
  <c r="CF36" i="16"/>
  <c r="CF38" i="16"/>
  <c r="CF37" i="16"/>
  <c r="CF39" i="16"/>
  <c r="CF33" i="16"/>
  <c r="CF35" i="16"/>
  <c r="CF43" i="16"/>
  <c r="CF41" i="16"/>
  <c r="CF42" i="16"/>
  <c r="CF45" i="16"/>
  <c r="CF47" i="16"/>
  <c r="CF49" i="16"/>
  <c r="CF51" i="16"/>
  <c r="CF53" i="16"/>
  <c r="CF55" i="16"/>
  <c r="CF40" i="16"/>
  <c r="DD4" i="16"/>
  <c r="DD6" i="16"/>
  <c r="DD8" i="16"/>
  <c r="DD3" i="16"/>
  <c r="DD5" i="16"/>
  <c r="DD7" i="16"/>
  <c r="DD9" i="16"/>
  <c r="DD10" i="16"/>
  <c r="DD12" i="16"/>
  <c r="DD14" i="16"/>
  <c r="DD16" i="16"/>
  <c r="DD15" i="16"/>
  <c r="DD18" i="16"/>
  <c r="DD19" i="16"/>
  <c r="DD17" i="16"/>
  <c r="DD11" i="16"/>
  <c r="DD20" i="16"/>
  <c r="DD22" i="16"/>
  <c r="DD13" i="16"/>
  <c r="DD26" i="16"/>
  <c r="DD28" i="16"/>
  <c r="DD30" i="16"/>
  <c r="DD32" i="16"/>
  <c r="DD21" i="16"/>
  <c r="DD23" i="16"/>
  <c r="DD27" i="16"/>
  <c r="DD29" i="16"/>
  <c r="DD31" i="16"/>
  <c r="DD25" i="16"/>
  <c r="DD36" i="16"/>
  <c r="DD38" i="16"/>
  <c r="DD35" i="16"/>
  <c r="DD24" i="16"/>
  <c r="DD34" i="16"/>
  <c r="DD33" i="16"/>
  <c r="DD37" i="16"/>
  <c r="DD39" i="16"/>
  <c r="DD40" i="16"/>
  <c r="DD43" i="16"/>
  <c r="DD45" i="16"/>
  <c r="DD47" i="16"/>
  <c r="DD49" i="16"/>
  <c r="DD51" i="16"/>
  <c r="DD53" i="16"/>
  <c r="DD55" i="16"/>
  <c r="DD41" i="16"/>
  <c r="DD42" i="16"/>
  <c r="BZ52" i="16"/>
  <c r="CR46" i="16"/>
  <c r="BN44" i="16"/>
  <c r="BN41" i="16"/>
  <c r="BI3" i="16"/>
  <c r="BI5" i="16"/>
  <c r="BI7" i="16"/>
  <c r="BI9" i="16"/>
  <c r="BI4" i="16"/>
  <c r="BI6" i="16"/>
  <c r="BI8" i="16"/>
  <c r="BI10" i="16"/>
  <c r="BI11" i="16"/>
  <c r="BI13" i="16"/>
  <c r="BI15" i="16"/>
  <c r="BI17" i="16"/>
  <c r="BI12" i="16"/>
  <c r="BI14" i="16"/>
  <c r="BI16" i="16"/>
  <c r="BI21" i="16"/>
  <c r="BI23" i="16"/>
  <c r="BI18" i="16"/>
  <c r="BI19" i="16"/>
  <c r="BI20" i="16"/>
  <c r="BI24" i="16"/>
  <c r="BI25" i="16"/>
  <c r="BI26" i="16"/>
  <c r="BI28" i="16"/>
  <c r="BI30" i="16"/>
  <c r="BI32" i="16"/>
  <c r="BI34" i="16"/>
  <c r="BI36" i="16"/>
  <c r="BI27" i="16"/>
  <c r="BI29" i="16"/>
  <c r="BI31" i="16"/>
  <c r="BI22" i="16"/>
  <c r="BI38" i="16"/>
  <c r="BI40" i="16"/>
  <c r="BI42" i="16"/>
  <c r="BI33" i="16"/>
  <c r="BI35" i="16"/>
  <c r="BI37" i="16"/>
  <c r="BI39" i="16"/>
  <c r="BI41" i="16"/>
  <c r="BI44" i="16"/>
  <c r="BI46" i="16"/>
  <c r="BI48" i="16"/>
  <c r="BI50" i="16"/>
  <c r="BI52" i="16"/>
  <c r="BI54" i="16"/>
  <c r="BI56" i="16"/>
  <c r="BI58" i="16"/>
  <c r="BI45" i="16"/>
  <c r="BI47" i="16"/>
  <c r="BI49" i="16"/>
  <c r="BI51" i="16"/>
  <c r="BI53" i="16"/>
  <c r="BU3" i="16"/>
  <c r="BU5" i="16"/>
  <c r="BU7" i="16"/>
  <c r="BU9" i="16"/>
  <c r="BU4" i="16"/>
  <c r="BU6" i="16"/>
  <c r="BU8" i="16"/>
  <c r="BU10" i="16"/>
  <c r="BU11" i="16"/>
  <c r="BU13" i="16"/>
  <c r="BU15" i="16"/>
  <c r="BU17" i="16"/>
  <c r="BU12" i="16"/>
  <c r="BU14" i="16"/>
  <c r="BU16" i="16"/>
  <c r="BU18" i="16"/>
  <c r="BU19" i="16"/>
  <c r="BU21" i="16"/>
  <c r="BU23" i="16"/>
  <c r="BU20" i="16"/>
  <c r="BU26" i="16"/>
  <c r="BU28" i="16"/>
  <c r="BU30" i="16"/>
  <c r="BU32" i="16"/>
  <c r="BU34" i="16"/>
  <c r="BU36" i="16"/>
  <c r="BU22" i="16"/>
  <c r="BU24" i="16"/>
  <c r="BU27" i="16"/>
  <c r="BU29" i="16"/>
  <c r="BU31" i="16"/>
  <c r="BU38" i="16"/>
  <c r="BU40" i="16"/>
  <c r="BU42" i="16"/>
  <c r="BU35" i="16"/>
  <c r="BU33" i="16"/>
  <c r="BU37" i="16"/>
  <c r="BU39" i="16"/>
  <c r="BU25" i="16"/>
  <c r="BU44" i="16"/>
  <c r="BU46" i="16"/>
  <c r="BU48" i="16"/>
  <c r="BU50" i="16"/>
  <c r="BU52" i="16"/>
  <c r="BU54" i="16"/>
  <c r="BU56" i="16"/>
  <c r="BU58" i="16"/>
  <c r="BU43" i="16"/>
  <c r="BU45" i="16"/>
  <c r="BU47" i="16"/>
  <c r="BU49" i="16"/>
  <c r="BU51" i="16"/>
  <c r="BU53" i="16"/>
  <c r="CA3" i="16"/>
  <c r="CA5" i="16"/>
  <c r="CA7" i="16"/>
  <c r="CA9" i="16"/>
  <c r="CA4" i="16"/>
  <c r="CA6" i="16"/>
  <c r="CA8" i="16"/>
  <c r="CA10" i="16"/>
  <c r="CA11" i="16"/>
  <c r="CA13" i="16"/>
  <c r="CA15" i="16"/>
  <c r="CA17" i="16"/>
  <c r="CA12" i="16"/>
  <c r="CA14" i="16"/>
  <c r="CA16" i="16"/>
  <c r="CA18" i="16"/>
  <c r="CA19" i="16"/>
  <c r="CA21" i="16"/>
  <c r="CA23" i="16"/>
  <c r="CA20" i="16"/>
  <c r="CA24" i="16"/>
  <c r="CA26" i="16"/>
  <c r="CA28" i="16"/>
  <c r="CA30" i="16"/>
  <c r="CA32" i="16"/>
  <c r="CA34" i="16"/>
  <c r="CA25" i="16"/>
  <c r="CA27" i="16"/>
  <c r="CA29" i="16"/>
  <c r="CA31" i="16"/>
  <c r="CA35" i="16"/>
  <c r="CA36" i="16"/>
  <c r="CA38" i="16"/>
  <c r="CA40" i="16"/>
  <c r="CA42" i="16"/>
  <c r="CA22" i="16"/>
  <c r="CA33" i="16"/>
  <c r="CA37" i="16"/>
  <c r="CA39" i="16"/>
  <c r="CA44" i="16"/>
  <c r="CA46" i="16"/>
  <c r="CA48" i="16"/>
  <c r="CA50" i="16"/>
  <c r="CA52" i="16"/>
  <c r="CA54" i="16"/>
  <c r="CA56" i="16"/>
  <c r="CA58" i="16"/>
  <c r="CA43" i="16"/>
  <c r="CA41" i="16"/>
  <c r="CA45" i="16"/>
  <c r="CA47" i="16"/>
  <c r="CA49" i="16"/>
  <c r="CA51" i="16"/>
  <c r="CA53" i="16"/>
  <c r="CG3" i="16"/>
  <c r="CG5" i="16"/>
  <c r="CG7" i="16"/>
  <c r="CG9" i="16"/>
  <c r="CG4" i="16"/>
  <c r="CG6" i="16"/>
  <c r="CG8" i="16"/>
  <c r="CG10" i="16"/>
  <c r="CG11" i="16"/>
  <c r="CG13" i="16"/>
  <c r="CG15" i="16"/>
  <c r="CG17" i="16"/>
  <c r="CG12" i="16"/>
  <c r="CG14" i="16"/>
  <c r="CG16" i="16"/>
  <c r="CG21" i="16"/>
  <c r="CG23" i="16"/>
  <c r="CG18" i="16"/>
  <c r="CG19" i="16"/>
  <c r="CG20" i="16"/>
  <c r="CG22" i="16"/>
  <c r="CG26" i="16"/>
  <c r="CG28" i="16"/>
  <c r="CG30" i="16"/>
  <c r="CG32" i="16"/>
  <c r="CG34" i="16"/>
  <c r="CG25" i="16"/>
  <c r="CG27" i="16"/>
  <c r="CG29" i="16"/>
  <c r="CG31" i="16"/>
  <c r="CG33" i="16"/>
  <c r="CG35" i="16"/>
  <c r="CG36" i="16"/>
  <c r="CG38" i="16"/>
  <c r="CG40" i="16"/>
  <c r="CG42" i="16"/>
  <c r="CG37" i="16"/>
  <c r="CG39" i="16"/>
  <c r="CG24" i="16"/>
  <c r="CG44" i="16"/>
  <c r="CG46" i="16"/>
  <c r="CG48" i="16"/>
  <c r="CG50" i="16"/>
  <c r="CG52" i="16"/>
  <c r="CG54" i="16"/>
  <c r="CG56" i="16"/>
  <c r="CG58" i="16"/>
  <c r="CG43" i="16"/>
  <c r="CG41" i="16"/>
  <c r="CG45" i="16"/>
  <c r="CG47" i="16"/>
  <c r="CG49" i="16"/>
  <c r="CG51" i="16"/>
  <c r="CG53" i="16"/>
  <c r="CM3" i="16"/>
  <c r="CM5" i="16"/>
  <c r="CM7" i="16"/>
  <c r="CM9" i="16"/>
  <c r="CM4" i="16"/>
  <c r="CM6" i="16"/>
  <c r="CM8" i="16"/>
  <c r="CM10" i="16"/>
  <c r="CM11" i="16"/>
  <c r="CM13" i="16"/>
  <c r="CM15" i="16"/>
  <c r="CM17" i="16"/>
  <c r="CM12" i="16"/>
  <c r="CM14" i="16"/>
  <c r="CM16" i="16"/>
  <c r="CM21" i="16"/>
  <c r="CM23" i="16"/>
  <c r="CM18" i="16"/>
  <c r="CM19" i="16"/>
  <c r="CM20" i="16"/>
  <c r="CM26" i="16"/>
  <c r="CM28" i="16"/>
  <c r="CM30" i="16"/>
  <c r="CM32" i="16"/>
  <c r="CM34" i="16"/>
  <c r="CM25" i="16"/>
  <c r="CM22" i="16"/>
  <c r="CM24" i="16"/>
  <c r="CM27" i="16"/>
  <c r="CM29" i="16"/>
  <c r="CM31" i="16"/>
  <c r="CM36" i="16"/>
  <c r="CM38" i="16"/>
  <c r="CM40" i="16"/>
  <c r="CM42" i="16"/>
  <c r="CM33" i="16"/>
  <c r="CM37" i="16"/>
  <c r="CM39" i="16"/>
  <c r="CM35" i="16"/>
  <c r="CM43" i="16"/>
  <c r="CM44" i="16"/>
  <c r="CM46" i="16"/>
  <c r="CM48" i="16"/>
  <c r="CM50" i="16"/>
  <c r="CM52" i="16"/>
  <c r="CM54" i="16"/>
  <c r="CM56" i="16"/>
  <c r="CM58" i="16"/>
  <c r="CM41" i="16"/>
  <c r="CM45" i="16"/>
  <c r="CM47" i="16"/>
  <c r="CM49" i="16"/>
  <c r="CM51" i="16"/>
  <c r="CM53" i="16"/>
  <c r="CS3" i="16"/>
  <c r="CS5" i="16"/>
  <c r="CS7" i="16"/>
  <c r="CS9" i="16"/>
  <c r="CS4" i="16"/>
  <c r="CS6" i="16"/>
  <c r="CS8" i="16"/>
  <c r="CS10" i="16"/>
  <c r="CS11" i="16"/>
  <c r="CS13" i="16"/>
  <c r="CS15" i="16"/>
  <c r="CS17" i="16"/>
  <c r="CS12" i="16"/>
  <c r="CS14" i="16"/>
  <c r="CS16" i="16"/>
  <c r="CS21" i="16"/>
  <c r="CS23" i="16"/>
  <c r="CS18" i="16"/>
  <c r="CS19" i="16"/>
  <c r="CS20" i="16"/>
  <c r="CS25" i="16"/>
  <c r="CS26" i="16"/>
  <c r="CS28" i="16"/>
  <c r="CS30" i="16"/>
  <c r="CS32" i="16"/>
  <c r="CS34" i="16"/>
  <c r="CS24" i="16"/>
  <c r="CS27" i="16"/>
  <c r="CS29" i="16"/>
  <c r="CS31" i="16"/>
  <c r="CS36" i="16"/>
  <c r="CS38" i="16"/>
  <c r="CS40" i="16"/>
  <c r="CS42" i="16"/>
  <c r="CS33" i="16"/>
  <c r="CS22" i="16"/>
  <c r="CS35" i="16"/>
  <c r="CS37" i="16"/>
  <c r="CS39" i="16"/>
  <c r="CS41" i="16"/>
  <c r="CS44" i="16"/>
  <c r="CS46" i="16"/>
  <c r="CS48" i="16"/>
  <c r="CS50" i="16"/>
  <c r="CS52" i="16"/>
  <c r="CS54" i="16"/>
  <c r="CS56" i="16"/>
  <c r="CS58" i="16"/>
  <c r="CS45" i="16"/>
  <c r="CS47" i="16"/>
  <c r="CS49" i="16"/>
  <c r="CS51" i="16"/>
  <c r="CY3" i="16"/>
  <c r="CY5" i="16"/>
  <c r="CY7" i="16"/>
  <c r="CY9" i="16"/>
  <c r="CY4" i="16"/>
  <c r="CY6" i="16"/>
  <c r="CY8" i="16"/>
  <c r="CY10" i="16"/>
  <c r="CY11" i="16"/>
  <c r="CY13" i="16"/>
  <c r="CY15" i="16"/>
  <c r="CY17" i="16"/>
  <c r="CY12" i="16"/>
  <c r="CY14" i="16"/>
  <c r="CY16" i="16"/>
  <c r="CY18" i="16"/>
  <c r="CY19" i="16"/>
  <c r="CY21" i="16"/>
  <c r="CY23" i="16"/>
  <c r="CY20" i="16"/>
  <c r="CY25" i="16"/>
  <c r="CY22" i="16"/>
  <c r="CY24" i="16"/>
  <c r="CY26" i="16"/>
  <c r="CY28" i="16"/>
  <c r="CY30" i="16"/>
  <c r="CY32" i="16"/>
  <c r="CY34" i="16"/>
  <c r="CY27" i="16"/>
  <c r="CY29" i="16"/>
  <c r="CY31" i="16"/>
  <c r="CY33" i="16"/>
  <c r="CY36" i="16"/>
  <c r="CY38" i="16"/>
  <c r="CY40" i="16"/>
  <c r="CY42" i="16"/>
  <c r="CY35" i="16"/>
  <c r="CY37" i="16"/>
  <c r="CY39" i="16"/>
  <c r="CY44" i="16"/>
  <c r="CY46" i="16"/>
  <c r="CY48" i="16"/>
  <c r="CY50" i="16"/>
  <c r="CY52" i="16"/>
  <c r="CY54" i="16"/>
  <c r="CY56" i="16"/>
  <c r="CY58" i="16"/>
  <c r="CY45" i="16"/>
  <c r="CY47" i="16"/>
  <c r="CY49" i="16"/>
  <c r="CY51" i="16"/>
  <c r="DE3" i="16"/>
  <c r="DE5" i="16"/>
  <c r="DE7" i="16"/>
  <c r="DE9" i="16"/>
  <c r="DE4" i="16"/>
  <c r="DE6" i="16"/>
  <c r="DE8" i="16"/>
  <c r="DE10" i="16"/>
  <c r="DE11" i="16"/>
  <c r="DE13" i="16"/>
  <c r="DE15" i="16"/>
  <c r="DE17" i="16"/>
  <c r="DE12" i="16"/>
  <c r="DE14" i="16"/>
  <c r="DE16" i="16"/>
  <c r="DE18" i="16"/>
  <c r="DE19" i="16"/>
  <c r="DE21" i="16"/>
  <c r="DE23" i="16"/>
  <c r="DE20" i="16"/>
  <c r="DE24" i="16"/>
  <c r="DE26" i="16"/>
  <c r="DE28" i="16"/>
  <c r="DE30" i="16"/>
  <c r="DE32" i="16"/>
  <c r="DE34" i="16"/>
  <c r="DE22" i="16"/>
  <c r="DE27" i="16"/>
  <c r="DE29" i="16"/>
  <c r="DE31" i="16"/>
  <c r="DE36" i="16"/>
  <c r="DE38" i="16"/>
  <c r="DE40" i="16"/>
  <c r="DE42" i="16"/>
  <c r="DE35" i="16"/>
  <c r="DE25" i="16"/>
  <c r="DE33" i="16"/>
  <c r="DE37" i="16"/>
  <c r="DE39" i="16"/>
  <c r="DE44" i="16"/>
  <c r="DE46" i="16"/>
  <c r="DE48" i="16"/>
  <c r="DE50" i="16"/>
  <c r="DE52" i="16"/>
  <c r="DE54" i="16"/>
  <c r="DE56" i="16"/>
  <c r="DE58" i="16"/>
  <c r="DE43" i="16"/>
  <c r="DE45" i="16"/>
  <c r="DE47" i="16"/>
  <c r="DE49" i="16"/>
  <c r="DE51" i="16"/>
  <c r="DK3" i="16"/>
  <c r="DK5" i="16"/>
  <c r="DK7" i="16"/>
  <c r="DK9" i="16"/>
  <c r="DK4" i="16"/>
  <c r="DK6" i="16"/>
  <c r="DK8" i="16"/>
  <c r="DK11" i="16"/>
  <c r="DK13" i="16"/>
  <c r="DK15" i="16"/>
  <c r="DK10" i="16"/>
  <c r="DK12" i="16"/>
  <c r="DK14" i="16"/>
  <c r="DK16" i="16"/>
  <c r="DK18" i="16"/>
  <c r="DK17" i="16"/>
  <c r="DK19" i="16"/>
  <c r="DK21" i="16"/>
  <c r="DK23" i="16"/>
  <c r="DK20" i="16"/>
  <c r="DK26" i="16"/>
  <c r="DK28" i="16"/>
  <c r="DK30" i="16"/>
  <c r="DK32" i="16"/>
  <c r="DK34" i="16"/>
  <c r="DK25" i="16"/>
  <c r="DK27" i="16"/>
  <c r="DK29" i="16"/>
  <c r="DK31" i="16"/>
  <c r="DK35" i="16"/>
  <c r="DK36" i="16"/>
  <c r="DK38" i="16"/>
  <c r="DK40" i="16"/>
  <c r="DK42" i="16"/>
  <c r="DK33" i="16"/>
  <c r="DK24" i="16"/>
  <c r="DK22" i="16"/>
  <c r="DK37" i="16"/>
  <c r="DK39" i="16"/>
  <c r="DK44" i="16"/>
  <c r="DK46" i="16"/>
  <c r="DK48" i="16"/>
  <c r="DK50" i="16"/>
  <c r="DK52" i="16"/>
  <c r="DK54" i="16"/>
  <c r="DK56" i="16"/>
  <c r="DK41" i="16"/>
  <c r="DK43" i="16"/>
  <c r="DK45" i="16"/>
  <c r="DK47" i="16"/>
  <c r="DK49" i="16"/>
  <c r="DK51" i="16"/>
  <c r="DK2" i="16"/>
  <c r="DE2" i="16"/>
  <c r="CY2" i="16"/>
  <c r="CS2" i="16"/>
  <c r="CM2" i="16"/>
  <c r="CG2" i="16"/>
  <c r="CA2" i="16"/>
  <c r="BU2" i="16"/>
  <c r="DM58" i="16"/>
  <c r="DG58" i="16"/>
  <c r="CZ58" i="16"/>
  <c r="CR58" i="16"/>
  <c r="CK58" i="16"/>
  <c r="CD58" i="16"/>
  <c r="BW58" i="16"/>
  <c r="BP58" i="16"/>
  <c r="DM57" i="16"/>
  <c r="DF57" i="16"/>
  <c r="CY57" i="16"/>
  <c r="CK57" i="16"/>
  <c r="CC57" i="16"/>
  <c r="BU57" i="16"/>
  <c r="BK57" i="16"/>
  <c r="CX56" i="16"/>
  <c r="CP56" i="16"/>
  <c r="CF56" i="16"/>
  <c r="BN56" i="16"/>
  <c r="DK55" i="16"/>
  <c r="DA55" i="16"/>
  <c r="CS55" i="16"/>
  <c r="CI55" i="16"/>
  <c r="CA55" i="16"/>
  <c r="BQ55" i="16"/>
  <c r="BI55" i="16"/>
  <c r="DD54" i="16"/>
  <c r="CV54" i="16"/>
  <c r="CL54" i="16"/>
  <c r="CD54" i="16"/>
  <c r="BL54" i="16"/>
  <c r="DG53" i="16"/>
  <c r="CY53" i="16"/>
  <c r="CN53" i="16"/>
  <c r="BV53" i="16"/>
  <c r="DI52" i="16"/>
  <c r="CQ52" i="16"/>
  <c r="BY52" i="16"/>
  <c r="DL51" i="16"/>
  <c r="CT51" i="16"/>
  <c r="CB51" i="16"/>
  <c r="BJ51" i="16"/>
  <c r="CW50" i="16"/>
  <c r="CE50" i="16"/>
  <c r="BM50" i="16"/>
  <c r="DC48" i="16"/>
  <c r="CK48" i="16"/>
  <c r="BS48" i="16"/>
  <c r="BV47" i="16"/>
  <c r="DI46" i="16"/>
  <c r="CQ46" i="16"/>
  <c r="BY46" i="16"/>
  <c r="DL45" i="16"/>
  <c r="CW44" i="16"/>
  <c r="CE44" i="16"/>
  <c r="BM44" i="16"/>
  <c r="CY43" i="16"/>
  <c r="CC43" i="16"/>
  <c r="DM42" i="16"/>
  <c r="CQ42" i="16"/>
  <c r="DE41" i="16"/>
  <c r="CI41" i="16"/>
  <c r="BT4" i="16"/>
  <c r="BT6" i="16"/>
  <c r="BT8" i="16"/>
  <c r="BT10" i="16"/>
  <c r="BT3" i="16"/>
  <c r="BT5" i="16"/>
  <c r="BT7" i="16"/>
  <c r="BT9" i="16"/>
  <c r="BT12" i="16"/>
  <c r="BT14" i="16"/>
  <c r="BT16" i="16"/>
  <c r="BT15" i="16"/>
  <c r="BT18" i="16"/>
  <c r="BT19" i="16"/>
  <c r="BT17" i="16"/>
  <c r="BT21" i="16"/>
  <c r="BT11" i="16"/>
  <c r="BT20" i="16"/>
  <c r="BT22" i="16"/>
  <c r="BT13" i="16"/>
  <c r="BT26" i="16"/>
  <c r="BT28" i="16"/>
  <c r="BT30" i="16"/>
  <c r="BT32" i="16"/>
  <c r="BT24" i="16"/>
  <c r="BT27" i="16"/>
  <c r="BT29" i="16"/>
  <c r="BT31" i="16"/>
  <c r="BT23" i="16"/>
  <c r="BT25" i="16"/>
  <c r="BT38" i="16"/>
  <c r="BT35" i="16"/>
  <c r="BT36" i="16"/>
  <c r="BT34" i="16"/>
  <c r="BT33" i="16"/>
  <c r="BT37" i="16"/>
  <c r="BT39" i="16"/>
  <c r="BT40" i="16"/>
  <c r="BT43" i="16"/>
  <c r="BT45" i="16"/>
  <c r="BT47" i="16"/>
  <c r="BT49" i="16"/>
  <c r="BT51" i="16"/>
  <c r="BT53" i="16"/>
  <c r="BT55" i="16"/>
  <c r="BT57" i="16"/>
  <c r="BT41" i="16"/>
  <c r="BT42" i="16"/>
  <c r="CR4" i="16"/>
  <c r="CR6" i="16"/>
  <c r="CR8" i="16"/>
  <c r="CR3" i="16"/>
  <c r="CR5" i="16"/>
  <c r="CR7" i="16"/>
  <c r="CR9" i="16"/>
  <c r="CR12" i="16"/>
  <c r="CR14" i="16"/>
  <c r="CR16" i="16"/>
  <c r="CR10" i="16"/>
  <c r="CR21" i="16"/>
  <c r="CR11" i="16"/>
  <c r="CR18" i="16"/>
  <c r="CR19" i="16"/>
  <c r="CR13" i="16"/>
  <c r="CR15" i="16"/>
  <c r="CR20" i="16"/>
  <c r="CR22" i="16"/>
  <c r="CR17" i="16"/>
  <c r="CR25" i="16"/>
  <c r="CR26" i="16"/>
  <c r="CR28" i="16"/>
  <c r="CR30" i="16"/>
  <c r="CR32" i="16"/>
  <c r="CR24" i="16"/>
  <c r="CR23" i="16"/>
  <c r="CR27" i="16"/>
  <c r="CR29" i="16"/>
  <c r="CR31" i="16"/>
  <c r="CR36" i="16"/>
  <c r="CR38" i="16"/>
  <c r="CR33" i="16"/>
  <c r="CR35" i="16"/>
  <c r="CR37" i="16"/>
  <c r="CR39" i="16"/>
  <c r="CR34" i="16"/>
  <c r="CR40" i="16"/>
  <c r="CR45" i="16"/>
  <c r="CR47" i="16"/>
  <c r="CR49" i="16"/>
  <c r="CR51" i="16"/>
  <c r="CR53" i="16"/>
  <c r="CR55" i="16"/>
  <c r="CL58" i="16"/>
  <c r="DD48" i="16"/>
  <c r="BO3" i="16"/>
  <c r="BO5" i="16"/>
  <c r="BO7" i="16"/>
  <c r="BO9" i="16"/>
  <c r="BO4" i="16"/>
  <c r="BO6" i="16"/>
  <c r="BO8" i="16"/>
  <c r="BO10" i="16"/>
  <c r="BO11" i="16"/>
  <c r="BO13" i="16"/>
  <c r="BO15" i="16"/>
  <c r="BO17" i="16"/>
  <c r="BO12" i="16"/>
  <c r="BO14" i="16"/>
  <c r="BO16" i="16"/>
  <c r="BO18" i="16"/>
  <c r="BO19" i="16"/>
  <c r="BO21" i="16"/>
  <c r="BO23" i="16"/>
  <c r="BO20" i="16"/>
  <c r="BO25" i="16"/>
  <c r="BO22" i="16"/>
  <c r="BO26" i="16"/>
  <c r="BO28" i="16"/>
  <c r="BO30" i="16"/>
  <c r="BO32" i="16"/>
  <c r="BO34" i="16"/>
  <c r="BO36" i="16"/>
  <c r="BO27" i="16"/>
  <c r="BO29" i="16"/>
  <c r="BO31" i="16"/>
  <c r="BO33" i="16"/>
  <c r="BO38" i="16"/>
  <c r="BO40" i="16"/>
  <c r="BO42" i="16"/>
  <c r="BO24" i="16"/>
  <c r="BO35" i="16"/>
  <c r="BO37" i="16"/>
  <c r="BO39" i="16"/>
  <c r="BO41" i="16"/>
  <c r="BO44" i="16"/>
  <c r="BO46" i="16"/>
  <c r="BO48" i="16"/>
  <c r="BO50" i="16"/>
  <c r="BO52" i="16"/>
  <c r="BO54" i="16"/>
  <c r="BO56" i="16"/>
  <c r="BO58" i="16"/>
  <c r="BO45" i="16"/>
  <c r="BO47" i="16"/>
  <c r="BO49" i="16"/>
  <c r="BO51" i="16"/>
  <c r="BO53" i="16"/>
  <c r="BJ3" i="16"/>
  <c r="BJ5" i="16"/>
  <c r="BJ7" i="16"/>
  <c r="BJ9" i="16"/>
  <c r="BJ4" i="16"/>
  <c r="BJ6" i="16"/>
  <c r="BJ8" i="16"/>
  <c r="BJ10" i="16"/>
  <c r="BJ11" i="16"/>
  <c r="BJ13" i="16"/>
  <c r="BJ15" i="16"/>
  <c r="BJ17" i="16"/>
  <c r="BJ19" i="16"/>
  <c r="BJ12" i="16"/>
  <c r="BJ14" i="16"/>
  <c r="BJ16" i="16"/>
  <c r="BJ20" i="16"/>
  <c r="BJ22" i="16"/>
  <c r="BJ24" i="16"/>
  <c r="BJ21" i="16"/>
  <c r="BJ23" i="16"/>
  <c r="BJ18" i="16"/>
  <c r="BJ25" i="16"/>
  <c r="BJ26" i="16"/>
  <c r="BJ28" i="16"/>
  <c r="BJ30" i="16"/>
  <c r="BJ32" i="16"/>
  <c r="BJ38" i="16"/>
  <c r="BJ40" i="16"/>
  <c r="BJ27" i="16"/>
  <c r="BJ33" i="16"/>
  <c r="BJ29" i="16"/>
  <c r="BJ36" i="16"/>
  <c r="BJ31" i="16"/>
  <c r="BJ34" i="16"/>
  <c r="BJ35" i="16"/>
  <c r="BJ37" i="16"/>
  <c r="BJ39" i="16"/>
  <c r="BJ42" i="16"/>
  <c r="BJ43" i="16"/>
  <c r="BJ41" i="16"/>
  <c r="BJ44" i="16"/>
  <c r="BJ46" i="16"/>
  <c r="BJ48" i="16"/>
  <c r="BJ50" i="16"/>
  <c r="BJ52" i="16"/>
  <c r="BP3" i="16"/>
  <c r="BP5" i="16"/>
  <c r="BP7" i="16"/>
  <c r="BP9" i="16"/>
  <c r="BP4" i="16"/>
  <c r="BP6" i="16"/>
  <c r="BP8" i="16"/>
  <c r="BP10" i="16"/>
  <c r="BP11" i="16"/>
  <c r="BP13" i="16"/>
  <c r="BP15" i="16"/>
  <c r="BP17" i="16"/>
  <c r="BP19" i="16"/>
  <c r="BP12" i="16"/>
  <c r="BP14" i="16"/>
  <c r="BP16" i="16"/>
  <c r="BP20" i="16"/>
  <c r="BP22" i="16"/>
  <c r="BP24" i="16"/>
  <c r="BP18" i="16"/>
  <c r="BP21" i="16"/>
  <c r="BP23" i="16"/>
  <c r="BP25" i="16"/>
  <c r="BP26" i="16"/>
  <c r="BP28" i="16"/>
  <c r="BP30" i="16"/>
  <c r="BP32" i="16"/>
  <c r="BP31" i="16"/>
  <c r="BP33" i="16"/>
  <c r="BP38" i="16"/>
  <c r="BP40" i="16"/>
  <c r="BP36" i="16"/>
  <c r="BP27" i="16"/>
  <c r="BP34" i="16"/>
  <c r="BP35" i="16"/>
  <c r="BP29" i="16"/>
  <c r="BP37" i="16"/>
  <c r="BP39" i="16"/>
  <c r="BP41" i="16"/>
  <c r="BP44" i="16"/>
  <c r="BP46" i="16"/>
  <c r="BP48" i="16"/>
  <c r="BP50" i="16"/>
  <c r="BP52" i="16"/>
  <c r="BV3" i="16"/>
  <c r="BV5" i="16"/>
  <c r="BV7" i="16"/>
  <c r="BV9" i="16"/>
  <c r="BV4" i="16"/>
  <c r="BV6" i="16"/>
  <c r="BV8" i="16"/>
  <c r="BV10" i="16"/>
  <c r="BV11" i="16"/>
  <c r="BV13" i="16"/>
  <c r="BV15" i="16"/>
  <c r="BV17" i="16"/>
  <c r="BV19" i="16"/>
  <c r="BV12" i="16"/>
  <c r="BV14" i="16"/>
  <c r="BV16" i="16"/>
  <c r="BV20" i="16"/>
  <c r="BV22" i="16"/>
  <c r="BV24" i="16"/>
  <c r="BV18" i="16"/>
  <c r="BV21" i="16"/>
  <c r="BV23" i="16"/>
  <c r="BV25" i="16"/>
  <c r="BV26" i="16"/>
  <c r="BV28" i="16"/>
  <c r="BV30" i="16"/>
  <c r="BV32" i="16"/>
  <c r="BV29" i="16"/>
  <c r="BV31" i="16"/>
  <c r="BV36" i="16"/>
  <c r="BV38" i="16"/>
  <c r="BV40" i="16"/>
  <c r="BV34" i="16"/>
  <c r="BV35" i="16"/>
  <c r="BV27" i="16"/>
  <c r="BV33" i="16"/>
  <c r="BV37" i="16"/>
  <c r="BV39" i="16"/>
  <c r="BV44" i="16"/>
  <c r="BV46" i="16"/>
  <c r="BV48" i="16"/>
  <c r="BV50" i="16"/>
  <c r="BV52" i="16"/>
  <c r="CB3" i="16"/>
  <c r="CB5" i="16"/>
  <c r="CB7" i="16"/>
  <c r="CB9" i="16"/>
  <c r="CB4" i="16"/>
  <c r="CB6" i="16"/>
  <c r="CB8" i="16"/>
  <c r="CB10" i="16"/>
  <c r="CB11" i="16"/>
  <c r="CB13" i="16"/>
  <c r="CB15" i="16"/>
  <c r="CB17" i="16"/>
  <c r="CB19" i="16"/>
  <c r="CB12" i="16"/>
  <c r="CB14" i="16"/>
  <c r="CB16" i="16"/>
  <c r="CB20" i="16"/>
  <c r="CB22" i="16"/>
  <c r="CB24" i="16"/>
  <c r="CB18" i="16"/>
  <c r="CB21" i="16"/>
  <c r="CB23" i="16"/>
  <c r="CB26" i="16"/>
  <c r="CB28" i="16"/>
  <c r="CB30" i="16"/>
  <c r="CB32" i="16"/>
  <c r="CB25" i="16"/>
  <c r="CB27" i="16"/>
  <c r="CB29" i="16"/>
  <c r="CB31" i="16"/>
  <c r="CB34" i="16"/>
  <c r="CB35" i="16"/>
  <c r="CB36" i="16"/>
  <c r="CB38" i="16"/>
  <c r="CB40" i="16"/>
  <c r="CB33" i="16"/>
  <c r="CB37" i="16"/>
  <c r="CB39" i="16"/>
  <c r="CB44" i="16"/>
  <c r="CB46" i="16"/>
  <c r="CB48" i="16"/>
  <c r="CB50" i="16"/>
  <c r="CB52" i="16"/>
  <c r="CB42" i="16"/>
  <c r="CB43" i="16"/>
  <c r="CH3" i="16"/>
  <c r="CH5" i="16"/>
  <c r="CH7" i="16"/>
  <c r="CH9" i="16"/>
  <c r="CH4" i="16"/>
  <c r="CH6" i="16"/>
  <c r="CH8" i="16"/>
  <c r="CH10" i="16"/>
  <c r="CH11" i="16"/>
  <c r="CH13" i="16"/>
  <c r="CH15" i="16"/>
  <c r="CH17" i="16"/>
  <c r="CH19" i="16"/>
  <c r="CH12" i="16"/>
  <c r="CH14" i="16"/>
  <c r="CH16" i="16"/>
  <c r="CH18" i="16"/>
  <c r="CH20" i="16"/>
  <c r="CH22" i="16"/>
  <c r="CH24" i="16"/>
  <c r="CH21" i="16"/>
  <c r="CH23" i="16"/>
  <c r="CH26" i="16"/>
  <c r="CH28" i="16"/>
  <c r="CH30" i="16"/>
  <c r="CH32" i="16"/>
  <c r="CH25" i="16"/>
  <c r="CH27" i="16"/>
  <c r="CH33" i="16"/>
  <c r="CH34" i="16"/>
  <c r="CH35" i="16"/>
  <c r="CH29" i="16"/>
  <c r="CH36" i="16"/>
  <c r="CH38" i="16"/>
  <c r="CH40" i="16"/>
  <c r="CH31" i="16"/>
  <c r="CH37" i="16"/>
  <c r="CH39" i="16"/>
  <c r="CH44" i="16"/>
  <c r="CH46" i="16"/>
  <c r="CH48" i="16"/>
  <c r="CH50" i="16"/>
  <c r="CH52" i="16"/>
  <c r="CH42" i="16"/>
  <c r="CH43" i="16"/>
  <c r="CH41" i="16"/>
  <c r="CN3" i="16"/>
  <c r="CN5" i="16"/>
  <c r="CN7" i="16"/>
  <c r="CN9" i="16"/>
  <c r="CN4" i="16"/>
  <c r="CN6" i="16"/>
  <c r="CN8" i="16"/>
  <c r="CN10" i="16"/>
  <c r="CN11" i="16"/>
  <c r="CN13" i="16"/>
  <c r="CN15" i="16"/>
  <c r="CN17" i="16"/>
  <c r="CN19" i="16"/>
  <c r="CN12" i="16"/>
  <c r="CN14" i="16"/>
  <c r="CN16" i="16"/>
  <c r="CN20" i="16"/>
  <c r="CN22" i="16"/>
  <c r="CN24" i="16"/>
  <c r="CN21" i="16"/>
  <c r="CN23" i="16"/>
  <c r="CN18" i="16"/>
  <c r="CN26" i="16"/>
  <c r="CN28" i="16"/>
  <c r="CN30" i="16"/>
  <c r="CN25" i="16"/>
  <c r="CN34" i="16"/>
  <c r="CN35" i="16"/>
  <c r="CN27" i="16"/>
  <c r="CN32" i="16"/>
  <c r="CN36" i="16"/>
  <c r="CN38" i="16"/>
  <c r="CN40" i="16"/>
  <c r="CN29" i="16"/>
  <c r="CN31" i="16"/>
  <c r="CN33" i="16"/>
  <c r="CN37" i="16"/>
  <c r="CN39" i="16"/>
  <c r="CN42" i="16"/>
  <c r="CN43" i="16"/>
  <c r="CN44" i="16"/>
  <c r="CN46" i="16"/>
  <c r="CN48" i="16"/>
  <c r="CN50" i="16"/>
  <c r="CN52" i="16"/>
  <c r="CN41" i="16"/>
  <c r="CT3" i="16"/>
  <c r="CT5" i="16"/>
  <c r="CT7" i="16"/>
  <c r="CT9" i="16"/>
  <c r="CT4" i="16"/>
  <c r="CT6" i="16"/>
  <c r="CT8" i="16"/>
  <c r="CT10" i="16"/>
  <c r="CT11" i="16"/>
  <c r="CT13" i="16"/>
  <c r="CT15" i="16"/>
  <c r="CT17" i="16"/>
  <c r="CT19" i="16"/>
  <c r="CT12" i="16"/>
  <c r="CT14" i="16"/>
  <c r="CT16" i="16"/>
  <c r="CT20" i="16"/>
  <c r="CT22" i="16"/>
  <c r="CT24" i="16"/>
  <c r="CT21" i="16"/>
  <c r="CT23" i="16"/>
  <c r="CT18" i="16"/>
  <c r="CT25" i="16"/>
  <c r="CT26" i="16"/>
  <c r="CT28" i="16"/>
  <c r="CT30" i="16"/>
  <c r="CT32" i="16"/>
  <c r="CT36" i="16"/>
  <c r="CT38" i="16"/>
  <c r="CT40" i="16"/>
  <c r="CT27" i="16"/>
  <c r="CT33" i="16"/>
  <c r="CT29" i="16"/>
  <c r="CT31" i="16"/>
  <c r="CT34" i="16"/>
  <c r="CT35" i="16"/>
  <c r="CT37" i="16"/>
  <c r="CT39" i="16"/>
  <c r="CT42" i="16"/>
  <c r="CT43" i="16"/>
  <c r="CT41" i="16"/>
  <c r="CT44" i="16"/>
  <c r="CT46" i="16"/>
  <c r="CT48" i="16"/>
  <c r="CT50" i="16"/>
  <c r="CT52" i="16"/>
  <c r="CZ3" i="16"/>
  <c r="CZ5" i="16"/>
  <c r="CZ7" i="16"/>
  <c r="CZ9" i="16"/>
  <c r="CZ4" i="16"/>
  <c r="CZ6" i="16"/>
  <c r="CZ8" i="16"/>
  <c r="CZ11" i="16"/>
  <c r="CZ13" i="16"/>
  <c r="CZ15" i="16"/>
  <c r="CZ17" i="16"/>
  <c r="CZ12" i="16"/>
  <c r="CZ14" i="16"/>
  <c r="CZ16" i="16"/>
  <c r="CZ20" i="16"/>
  <c r="CZ22" i="16"/>
  <c r="CZ24" i="16"/>
  <c r="CZ10" i="16"/>
  <c r="CZ18" i="16"/>
  <c r="CZ19" i="16"/>
  <c r="CZ21" i="16"/>
  <c r="CZ23" i="16"/>
  <c r="CZ25" i="16"/>
  <c r="CZ26" i="16"/>
  <c r="CZ28" i="16"/>
  <c r="CZ30" i="16"/>
  <c r="CZ31" i="16"/>
  <c r="CZ33" i="16"/>
  <c r="CZ36" i="16"/>
  <c r="CZ38" i="16"/>
  <c r="CZ40" i="16"/>
  <c r="CZ27" i="16"/>
  <c r="CZ32" i="16"/>
  <c r="CZ34" i="16"/>
  <c r="CZ35" i="16"/>
  <c r="CZ29" i="16"/>
  <c r="CZ37" i="16"/>
  <c r="CZ39" i="16"/>
  <c r="CZ41" i="16"/>
  <c r="CZ44" i="16"/>
  <c r="CZ46" i="16"/>
  <c r="CZ48" i="16"/>
  <c r="CZ50" i="16"/>
  <c r="CZ52" i="16"/>
  <c r="DF3" i="16"/>
  <c r="DF5" i="16"/>
  <c r="DF7" i="16"/>
  <c r="DF9" i="16"/>
  <c r="DF4" i="16"/>
  <c r="DF6" i="16"/>
  <c r="DF8" i="16"/>
  <c r="DF10" i="16"/>
  <c r="DF11" i="16"/>
  <c r="DF13" i="16"/>
  <c r="DF15" i="16"/>
  <c r="DF17" i="16"/>
  <c r="DF12" i="16"/>
  <c r="DF14" i="16"/>
  <c r="DF16" i="16"/>
  <c r="DF20" i="16"/>
  <c r="DF22" i="16"/>
  <c r="DF24" i="16"/>
  <c r="DF18" i="16"/>
  <c r="DF19" i="16"/>
  <c r="DF21" i="16"/>
  <c r="DF23" i="16"/>
  <c r="DF25" i="16"/>
  <c r="DF26" i="16"/>
  <c r="DF28" i="16"/>
  <c r="DF30" i="16"/>
  <c r="DF29" i="16"/>
  <c r="DF31" i="16"/>
  <c r="DF32" i="16"/>
  <c r="DF36" i="16"/>
  <c r="DF38" i="16"/>
  <c r="DF40" i="16"/>
  <c r="DF34" i="16"/>
  <c r="DF35" i="16"/>
  <c r="DF27" i="16"/>
  <c r="DF33" i="16"/>
  <c r="DF37" i="16"/>
  <c r="DF39" i="16"/>
  <c r="DF44" i="16"/>
  <c r="DF46" i="16"/>
  <c r="DF48" i="16"/>
  <c r="DF50" i="16"/>
  <c r="DF52" i="16"/>
  <c r="DL3" i="16"/>
  <c r="DL5" i="16"/>
  <c r="DL7" i="16"/>
  <c r="DL9" i="16"/>
  <c r="DL4" i="16"/>
  <c r="DL6" i="16"/>
  <c r="DL8" i="16"/>
  <c r="DL11" i="16"/>
  <c r="DL13" i="16"/>
  <c r="DL15" i="16"/>
  <c r="DL17" i="16"/>
  <c r="DL10" i="16"/>
  <c r="DL12" i="16"/>
  <c r="DL14" i="16"/>
  <c r="DL16" i="16"/>
  <c r="DL20" i="16"/>
  <c r="DL22" i="16"/>
  <c r="DL24" i="16"/>
  <c r="DL18" i="16"/>
  <c r="DL19" i="16"/>
  <c r="DL21" i="16"/>
  <c r="DL23" i="16"/>
  <c r="DL26" i="16"/>
  <c r="DL28" i="16"/>
  <c r="DL30" i="16"/>
  <c r="DL27" i="16"/>
  <c r="DL32" i="16"/>
  <c r="DL29" i="16"/>
  <c r="DL31" i="16"/>
  <c r="DL34" i="16"/>
  <c r="DL35" i="16"/>
  <c r="DL36" i="16"/>
  <c r="DL38" i="16"/>
  <c r="DL33" i="16"/>
  <c r="DL25" i="16"/>
  <c r="DL37" i="16"/>
  <c r="DL39" i="16"/>
  <c r="DL44" i="16"/>
  <c r="DL46" i="16"/>
  <c r="DL48" i="16"/>
  <c r="DL50" i="16"/>
  <c r="DL52" i="16"/>
  <c r="DL42" i="16"/>
  <c r="DJ2" i="16"/>
  <c r="DD2" i="16"/>
  <c r="CX2" i="16"/>
  <c r="CR2" i="16"/>
  <c r="CL2" i="16"/>
  <c r="CF2" i="16"/>
  <c r="BZ2" i="16"/>
  <c r="BT2" i="16"/>
  <c r="BN2" i="16"/>
  <c r="DL58" i="16"/>
  <c r="DF58" i="16"/>
  <c r="CX58" i="16"/>
  <c r="CQ58" i="16"/>
  <c r="CJ58" i="16"/>
  <c r="CC58" i="16"/>
  <c r="BV58" i="16"/>
  <c r="BN58" i="16"/>
  <c r="DL57" i="16"/>
  <c r="DE57" i="16"/>
  <c r="CX57" i="16"/>
  <c r="CQ57" i="16"/>
  <c r="CI57" i="16"/>
  <c r="CB57" i="16"/>
  <c r="BS57" i="16"/>
  <c r="BJ57" i="16"/>
  <c r="DF56" i="16"/>
  <c r="CW56" i="16"/>
  <c r="CN56" i="16"/>
  <c r="CE56" i="16"/>
  <c r="BV56" i="16"/>
  <c r="BM56" i="16"/>
  <c r="DI55" i="16"/>
  <c r="CZ55" i="16"/>
  <c r="CQ55" i="16"/>
  <c r="CH55" i="16"/>
  <c r="BY55" i="16"/>
  <c r="BP55" i="16"/>
  <c r="DL54" i="16"/>
  <c r="DC54" i="16"/>
  <c r="CT54" i="16"/>
  <c r="CK54" i="16"/>
  <c r="CB54" i="16"/>
  <c r="BS54" i="16"/>
  <c r="BJ54" i="16"/>
  <c r="DF53" i="16"/>
  <c r="CW53" i="16"/>
  <c r="CI53" i="16"/>
  <c r="BQ53" i="16"/>
  <c r="DD52" i="16"/>
  <c r="CL52" i="16"/>
  <c r="BT52" i="16"/>
  <c r="DG51" i="16"/>
  <c r="CO51" i="16"/>
  <c r="BW51" i="16"/>
  <c r="DJ50" i="16"/>
  <c r="CR50" i="16"/>
  <c r="BZ50" i="16"/>
  <c r="DM49" i="16"/>
  <c r="CC49" i="16"/>
  <c r="BK49" i="16"/>
  <c r="CX48" i="16"/>
  <c r="CF48" i="16"/>
  <c r="DA47" i="16"/>
  <c r="BQ47" i="16"/>
  <c r="DD46" i="16"/>
  <c r="CL46" i="16"/>
  <c r="BT46" i="16"/>
  <c r="DG45" i="16"/>
  <c r="BW45" i="16"/>
  <c r="CR44" i="16"/>
  <c r="BZ44" i="16"/>
  <c r="CS43" i="16"/>
  <c r="CK42" i="16"/>
  <c r="BP42" i="16"/>
  <c r="CY41" i="16"/>
  <c r="BN4" i="16"/>
  <c r="BN6" i="16"/>
  <c r="BN8" i="16"/>
  <c r="BN10" i="16"/>
  <c r="BN3" i="16"/>
  <c r="BN5" i="16"/>
  <c r="BN7" i="16"/>
  <c r="BN9" i="16"/>
  <c r="BN12" i="16"/>
  <c r="BN14" i="16"/>
  <c r="BN16" i="16"/>
  <c r="BN17" i="16"/>
  <c r="BN18" i="16"/>
  <c r="BN19" i="16"/>
  <c r="BN21" i="16"/>
  <c r="BN11" i="16"/>
  <c r="BN13" i="16"/>
  <c r="BN20" i="16"/>
  <c r="BN22" i="16"/>
  <c r="BN15" i="16"/>
  <c r="BN26" i="16"/>
  <c r="BN28" i="16"/>
  <c r="BN30" i="16"/>
  <c r="BN32" i="16"/>
  <c r="BN23" i="16"/>
  <c r="BN27" i="16"/>
  <c r="BN29" i="16"/>
  <c r="BN31" i="16"/>
  <c r="BN24" i="16"/>
  <c r="BN38" i="16"/>
  <c r="BN35" i="16"/>
  <c r="BN36" i="16"/>
  <c r="BN34" i="16"/>
  <c r="BN37" i="16"/>
  <c r="BN39" i="16"/>
  <c r="BN25" i="16"/>
  <c r="BN33" i="16"/>
  <c r="BN40" i="16"/>
  <c r="BN45" i="16"/>
  <c r="BN47" i="16"/>
  <c r="BN49" i="16"/>
  <c r="BN51" i="16"/>
  <c r="BN53" i="16"/>
  <c r="BN55" i="16"/>
  <c r="BN57" i="16"/>
  <c r="BN43" i="16"/>
  <c r="DJ4" i="16"/>
  <c r="DJ6" i="16"/>
  <c r="DJ8" i="16"/>
  <c r="DJ3" i="16"/>
  <c r="DJ5" i="16"/>
  <c r="DJ7" i="16"/>
  <c r="DJ9" i="16"/>
  <c r="DJ10" i="16"/>
  <c r="DJ12" i="16"/>
  <c r="DJ14" i="16"/>
  <c r="DJ16" i="16"/>
  <c r="DJ13" i="16"/>
  <c r="DJ17" i="16"/>
  <c r="DJ15" i="16"/>
  <c r="DJ19" i="16"/>
  <c r="DJ20" i="16"/>
  <c r="DJ22" i="16"/>
  <c r="DJ11" i="16"/>
  <c r="DJ18" i="16"/>
  <c r="DJ26" i="16"/>
  <c r="DJ28" i="16"/>
  <c r="DJ30" i="16"/>
  <c r="DJ32" i="16"/>
  <c r="DJ25" i="16"/>
  <c r="DJ27" i="16"/>
  <c r="DJ29" i="16"/>
  <c r="DJ31" i="16"/>
  <c r="DJ21" i="16"/>
  <c r="DJ24" i="16"/>
  <c r="DJ35" i="16"/>
  <c r="DJ36" i="16"/>
  <c r="DJ38" i="16"/>
  <c r="DJ33" i="16"/>
  <c r="DJ34" i="16"/>
  <c r="DJ23" i="16"/>
  <c r="DJ37" i="16"/>
  <c r="DJ39" i="16"/>
  <c r="DJ41" i="16"/>
  <c r="DJ42" i="16"/>
  <c r="DJ43" i="16"/>
  <c r="DJ45" i="16"/>
  <c r="DJ47" i="16"/>
  <c r="DJ49" i="16"/>
  <c r="DJ51" i="16"/>
  <c r="DJ53" i="16"/>
  <c r="DJ55" i="16"/>
  <c r="DJ40" i="16"/>
  <c r="CL57" i="16"/>
  <c r="DJ52" i="16"/>
  <c r="CF50" i="16"/>
  <c r="BT48" i="16"/>
  <c r="DJ46" i="16"/>
  <c r="BZ46" i="16"/>
  <c r="CX44" i="16"/>
  <c r="CF44" i="16"/>
  <c r="CR42" i="16"/>
  <c r="BW3" i="16"/>
  <c r="BW5" i="16"/>
  <c r="BW7" i="16"/>
  <c r="BW9" i="16"/>
  <c r="BW4" i="16"/>
  <c r="BW6" i="16"/>
  <c r="BW8" i="16"/>
  <c r="BW10" i="16"/>
  <c r="BW11" i="16"/>
  <c r="BW13" i="16"/>
  <c r="BW15" i="16"/>
  <c r="BW17" i="16"/>
  <c r="BW20" i="16"/>
  <c r="BW12" i="16"/>
  <c r="BW19" i="16"/>
  <c r="BW14" i="16"/>
  <c r="BW18" i="16"/>
  <c r="BW16" i="16"/>
  <c r="BW21" i="16"/>
  <c r="BW23" i="16"/>
  <c r="BW27" i="16"/>
  <c r="BW29" i="16"/>
  <c r="BW31" i="16"/>
  <c r="BW33" i="16"/>
  <c r="BW25" i="16"/>
  <c r="BW26" i="16"/>
  <c r="BW28" i="16"/>
  <c r="BW30" i="16"/>
  <c r="BW32" i="16"/>
  <c r="BW22" i="16"/>
  <c r="BW24" i="16"/>
  <c r="BW37" i="16"/>
  <c r="BW39" i="16"/>
  <c r="BW36" i="16"/>
  <c r="BW38" i="16"/>
  <c r="BW40" i="16"/>
  <c r="BW34" i="16"/>
  <c r="BW35" i="16"/>
  <c r="BW41" i="16"/>
  <c r="BW44" i="16"/>
  <c r="BW46" i="16"/>
  <c r="BW48" i="16"/>
  <c r="BW50" i="16"/>
  <c r="BW52" i="16"/>
  <c r="BW54" i="16"/>
  <c r="BW56" i="16"/>
  <c r="CC3" i="16"/>
  <c r="CC5" i="16"/>
  <c r="CC7" i="16"/>
  <c r="CC9" i="16"/>
  <c r="CC4" i="16"/>
  <c r="CC6" i="16"/>
  <c r="CC8" i="16"/>
  <c r="CC10" i="16"/>
  <c r="CC11" i="16"/>
  <c r="CC13" i="16"/>
  <c r="CC15" i="16"/>
  <c r="CC17" i="16"/>
  <c r="CC19" i="16"/>
  <c r="CC20" i="16"/>
  <c r="CC18" i="16"/>
  <c r="CC12" i="16"/>
  <c r="CC14" i="16"/>
  <c r="CC21" i="16"/>
  <c r="CC23" i="16"/>
  <c r="CC16" i="16"/>
  <c r="CC22" i="16"/>
  <c r="CC25" i="16"/>
  <c r="CC27" i="16"/>
  <c r="CC29" i="16"/>
  <c r="CC31" i="16"/>
  <c r="CC33" i="16"/>
  <c r="CC24" i="16"/>
  <c r="CC26" i="16"/>
  <c r="CC28" i="16"/>
  <c r="CC30" i="16"/>
  <c r="CC32" i="16"/>
  <c r="CC37" i="16"/>
  <c r="CC39" i="16"/>
  <c r="CC34" i="16"/>
  <c r="CC35" i="16"/>
  <c r="CC36" i="16"/>
  <c r="CC38" i="16"/>
  <c r="CC40" i="16"/>
  <c r="CC44" i="16"/>
  <c r="CC46" i="16"/>
  <c r="CC48" i="16"/>
  <c r="CC50" i="16"/>
  <c r="CC52" i="16"/>
  <c r="CC54" i="16"/>
  <c r="CC56" i="16"/>
  <c r="CI3" i="16"/>
  <c r="CI5" i="16"/>
  <c r="CI7" i="16"/>
  <c r="CI9" i="16"/>
  <c r="CI4" i="16"/>
  <c r="CI6" i="16"/>
  <c r="CI8" i="16"/>
  <c r="CI10" i="16"/>
  <c r="CI11" i="16"/>
  <c r="CI13" i="16"/>
  <c r="CI15" i="16"/>
  <c r="CI17" i="16"/>
  <c r="CI16" i="16"/>
  <c r="CI19" i="16"/>
  <c r="CI18" i="16"/>
  <c r="CI20" i="16"/>
  <c r="CI12" i="16"/>
  <c r="CI21" i="16"/>
  <c r="CI14" i="16"/>
  <c r="CI24" i="16"/>
  <c r="CI27" i="16"/>
  <c r="CI29" i="16"/>
  <c r="CI31" i="16"/>
  <c r="CI33" i="16"/>
  <c r="CI22" i="16"/>
  <c r="CI23" i="16"/>
  <c r="CI26" i="16"/>
  <c r="CI28" i="16"/>
  <c r="CI30" i="16"/>
  <c r="CI32" i="16"/>
  <c r="CI37" i="16"/>
  <c r="CI25" i="16"/>
  <c r="CI34" i="16"/>
  <c r="CI35" i="16"/>
  <c r="CI36" i="16"/>
  <c r="CI38" i="16"/>
  <c r="CI39" i="16"/>
  <c r="CI44" i="16"/>
  <c r="CI46" i="16"/>
  <c r="CI48" i="16"/>
  <c r="CI50" i="16"/>
  <c r="CI52" i="16"/>
  <c r="CI54" i="16"/>
  <c r="CI56" i="16"/>
  <c r="CI42" i="16"/>
  <c r="CI43" i="16"/>
  <c r="CO3" i="16"/>
  <c r="CO5" i="16"/>
  <c r="CO7" i="16"/>
  <c r="CO9" i="16"/>
  <c r="CO4" i="16"/>
  <c r="CO6" i="16"/>
  <c r="CO8" i="16"/>
  <c r="CO10" i="16"/>
  <c r="CO11" i="16"/>
  <c r="CO13" i="16"/>
  <c r="CO15" i="16"/>
  <c r="CO17" i="16"/>
  <c r="CO14" i="16"/>
  <c r="CO18" i="16"/>
  <c r="CO16" i="16"/>
  <c r="CO20" i="16"/>
  <c r="CO21" i="16"/>
  <c r="CO12" i="16"/>
  <c r="CO19" i="16"/>
  <c r="CO23" i="16"/>
  <c r="CO27" i="16"/>
  <c r="CO29" i="16"/>
  <c r="CO31" i="16"/>
  <c r="CO33" i="16"/>
  <c r="CO26" i="16"/>
  <c r="CO28" i="16"/>
  <c r="CO30" i="16"/>
  <c r="CO22" i="16"/>
  <c r="CO24" i="16"/>
  <c r="CO25" i="16"/>
  <c r="CO37" i="16"/>
  <c r="CO34" i="16"/>
  <c r="CO35" i="16"/>
  <c r="CO32" i="16"/>
  <c r="CO36" i="16"/>
  <c r="CO38" i="16"/>
  <c r="CO40" i="16"/>
  <c r="CO39" i="16"/>
  <c r="CO42" i="16"/>
  <c r="CO43" i="16"/>
  <c r="CO44" i="16"/>
  <c r="CO46" i="16"/>
  <c r="CO48" i="16"/>
  <c r="CO50" i="16"/>
  <c r="CO52" i="16"/>
  <c r="CO54" i="16"/>
  <c r="CO56" i="16"/>
  <c r="CO41" i="16"/>
  <c r="CU3" i="16"/>
  <c r="CU5" i="16"/>
  <c r="CU7" i="16"/>
  <c r="CU9" i="16"/>
  <c r="CU4" i="16"/>
  <c r="CU6" i="16"/>
  <c r="CU8" i="16"/>
  <c r="CU10" i="16"/>
  <c r="CU11" i="16"/>
  <c r="CU13" i="16"/>
  <c r="CU15" i="16"/>
  <c r="CU17" i="16"/>
  <c r="CU12" i="16"/>
  <c r="CU14" i="16"/>
  <c r="CU20" i="16"/>
  <c r="CU16" i="16"/>
  <c r="CU19" i="16"/>
  <c r="CU21" i="16"/>
  <c r="CU18" i="16"/>
  <c r="CU22" i="16"/>
  <c r="CU27" i="16"/>
  <c r="CU29" i="16"/>
  <c r="CU31" i="16"/>
  <c r="CU33" i="16"/>
  <c r="CU23" i="16"/>
  <c r="CU24" i="16"/>
  <c r="CU25" i="16"/>
  <c r="CU26" i="16"/>
  <c r="CU28" i="16"/>
  <c r="CU30" i="16"/>
  <c r="CU34" i="16"/>
  <c r="CU35" i="16"/>
  <c r="CU37" i="16"/>
  <c r="CU32" i="16"/>
  <c r="CU36" i="16"/>
  <c r="CU38" i="16"/>
  <c r="CU42" i="16"/>
  <c r="CU43" i="16"/>
  <c r="CU39" i="16"/>
  <c r="CU40" i="16"/>
  <c r="CU41" i="16"/>
  <c r="CU44" i="16"/>
  <c r="CU46" i="16"/>
  <c r="CU48" i="16"/>
  <c r="CU50" i="16"/>
  <c r="CU52" i="16"/>
  <c r="CU54" i="16"/>
  <c r="CU56" i="16"/>
  <c r="DA3" i="16"/>
  <c r="DA5" i="16"/>
  <c r="DA7" i="16"/>
  <c r="DA9" i="16"/>
  <c r="DA4" i="16"/>
  <c r="DA6" i="16"/>
  <c r="DA8" i="16"/>
  <c r="DA10" i="16"/>
  <c r="DA11" i="16"/>
  <c r="DA13" i="16"/>
  <c r="DA15" i="16"/>
  <c r="DA17" i="16"/>
  <c r="DA12" i="16"/>
  <c r="DA20" i="16"/>
  <c r="DA14" i="16"/>
  <c r="DA16" i="16"/>
  <c r="DA18" i="16"/>
  <c r="DA19" i="16"/>
  <c r="DA21" i="16"/>
  <c r="DA23" i="16"/>
  <c r="DA27" i="16"/>
  <c r="DA29" i="16"/>
  <c r="DA31" i="16"/>
  <c r="DA33" i="16"/>
  <c r="DA22" i="16"/>
  <c r="DA24" i="16"/>
  <c r="DA25" i="16"/>
  <c r="DA26" i="16"/>
  <c r="DA28" i="16"/>
  <c r="DA30" i="16"/>
  <c r="DA37" i="16"/>
  <c r="DA36" i="16"/>
  <c r="DA38" i="16"/>
  <c r="DA32" i="16"/>
  <c r="DA34" i="16"/>
  <c r="DA35" i="16"/>
  <c r="DA42" i="16"/>
  <c r="DA43" i="16"/>
  <c r="DA41" i="16"/>
  <c r="DA44" i="16"/>
  <c r="DA46" i="16"/>
  <c r="DA48" i="16"/>
  <c r="DA50" i="16"/>
  <c r="DA52" i="16"/>
  <c r="DA54" i="16"/>
  <c r="DA56" i="16"/>
  <c r="DA39" i="16"/>
  <c r="DG3" i="16"/>
  <c r="DG5" i="16"/>
  <c r="DG7" i="16"/>
  <c r="DG9" i="16"/>
  <c r="DG4" i="16"/>
  <c r="DG6" i="16"/>
  <c r="DG8" i="16"/>
  <c r="DG10" i="16"/>
  <c r="DG11" i="16"/>
  <c r="DG13" i="16"/>
  <c r="DG15" i="16"/>
  <c r="DG20" i="16"/>
  <c r="DG12" i="16"/>
  <c r="DG14" i="16"/>
  <c r="DG17" i="16"/>
  <c r="DG18" i="16"/>
  <c r="DG16" i="16"/>
  <c r="DG19" i="16"/>
  <c r="DG21" i="16"/>
  <c r="DG27" i="16"/>
  <c r="DG29" i="16"/>
  <c r="DG31" i="16"/>
  <c r="DG33" i="16"/>
  <c r="DG24" i="16"/>
  <c r="DG25" i="16"/>
  <c r="DG23" i="16"/>
  <c r="DG26" i="16"/>
  <c r="DG28" i="16"/>
  <c r="DG30" i="16"/>
  <c r="DG22" i="16"/>
  <c r="DG37" i="16"/>
  <c r="DG32" i="16"/>
  <c r="DG36" i="16"/>
  <c r="DG38" i="16"/>
  <c r="DG34" i="16"/>
  <c r="DG35" i="16"/>
  <c r="DG40" i="16"/>
  <c r="DG41" i="16"/>
  <c r="DG44" i="16"/>
  <c r="DG46" i="16"/>
  <c r="DG48" i="16"/>
  <c r="DG50" i="16"/>
  <c r="DG52" i="16"/>
  <c r="DG54" i="16"/>
  <c r="DG56" i="16"/>
  <c r="DM3" i="16"/>
  <c r="DM5" i="16"/>
  <c r="DM7" i="16"/>
  <c r="DM9" i="16"/>
  <c r="DM4" i="16"/>
  <c r="DM6" i="16"/>
  <c r="DM8" i="16"/>
  <c r="DM11" i="16"/>
  <c r="DM13" i="16"/>
  <c r="DM15" i="16"/>
  <c r="DM20" i="16"/>
  <c r="DM10" i="16"/>
  <c r="DM17" i="16"/>
  <c r="DM18" i="16"/>
  <c r="DM12" i="16"/>
  <c r="DM14" i="16"/>
  <c r="DM19" i="16"/>
  <c r="DM21" i="16"/>
  <c r="DM16" i="16"/>
  <c r="DM22" i="16"/>
  <c r="DM23" i="16"/>
  <c r="DM24" i="16"/>
  <c r="DM25" i="16"/>
  <c r="DM27" i="16"/>
  <c r="DM29" i="16"/>
  <c r="DM31" i="16"/>
  <c r="DM26" i="16"/>
  <c r="DM28" i="16"/>
  <c r="DM30" i="16"/>
  <c r="DM37" i="16"/>
  <c r="DM32" i="16"/>
  <c r="DM34" i="16"/>
  <c r="DM35" i="16"/>
  <c r="DM36" i="16"/>
  <c r="DM38" i="16"/>
  <c r="DM33" i="16"/>
  <c r="DM39" i="16"/>
  <c r="DM40" i="16"/>
  <c r="DM44" i="16"/>
  <c r="DM46" i="16"/>
  <c r="DM48" i="16"/>
  <c r="DM50" i="16"/>
  <c r="DM52" i="16"/>
  <c r="DM54" i="16"/>
  <c r="DM56" i="16"/>
  <c r="DI2" i="16"/>
  <c r="DC2" i="16"/>
  <c r="CW2" i="16"/>
  <c r="CQ2" i="16"/>
  <c r="CK2" i="16"/>
  <c r="CE2" i="16"/>
  <c r="BY2" i="16"/>
  <c r="BS2" i="16"/>
  <c r="BM2" i="16"/>
  <c r="DK58" i="16"/>
  <c r="DD58" i="16"/>
  <c r="CW58" i="16"/>
  <c r="CI58" i="16"/>
  <c r="CB58" i="16"/>
  <c r="BT58" i="16"/>
  <c r="BM58" i="16"/>
  <c r="DK57" i="16"/>
  <c r="DD57" i="16"/>
  <c r="CW57" i="16"/>
  <c r="CO57" i="16"/>
  <c r="CH57" i="16"/>
  <c r="CA57" i="16"/>
  <c r="BI57" i="16"/>
  <c r="DD56" i="16"/>
  <c r="CL56" i="16"/>
  <c r="BT56" i="16"/>
  <c r="DG55" i="16"/>
  <c r="CY55" i="16"/>
  <c r="CO55" i="16"/>
  <c r="CG55" i="16"/>
  <c r="BW55" i="16"/>
  <c r="BO55" i="16"/>
  <c r="DJ54" i="16"/>
  <c r="CR54" i="16"/>
  <c r="CJ54" i="16"/>
  <c r="DM53" i="16"/>
  <c r="DE53" i="16"/>
  <c r="CU53" i="16"/>
  <c r="CH53" i="16"/>
  <c r="BP53" i="16"/>
  <c r="DC52" i="16"/>
  <c r="CK52" i="16"/>
  <c r="BS52" i="16"/>
  <c r="DF51" i="16"/>
  <c r="CN51" i="16"/>
  <c r="BV51" i="16"/>
  <c r="DI50" i="16"/>
  <c r="CQ50" i="16"/>
  <c r="BY50" i="16"/>
  <c r="DL49" i="16"/>
  <c r="CT49" i="16"/>
  <c r="CB49" i="16"/>
  <c r="BJ49" i="16"/>
  <c r="CW48" i="16"/>
  <c r="CE48" i="16"/>
  <c r="BM48" i="16"/>
  <c r="CZ47" i="16"/>
  <c r="CH47" i="16"/>
  <c r="BP47" i="16"/>
  <c r="DC46" i="16"/>
  <c r="CK46" i="16"/>
  <c r="BS46" i="16"/>
  <c r="DF45" i="16"/>
  <c r="CN45" i="16"/>
  <c r="BV45" i="16"/>
  <c r="DI44" i="16"/>
  <c r="CQ44" i="16"/>
  <c r="BY44" i="16"/>
  <c r="DL43" i="16"/>
  <c r="CR43" i="16"/>
  <c r="BV43" i="16"/>
  <c r="DF42" i="16"/>
  <c r="BN42" i="16"/>
  <c r="CB41" i="16"/>
  <c r="CI40" i="16"/>
  <c r="BZ4" i="16"/>
  <c r="BZ6" i="16"/>
  <c r="BZ8" i="16"/>
  <c r="BZ10" i="16"/>
  <c r="BZ3" i="16"/>
  <c r="BZ5" i="16"/>
  <c r="BZ7" i="16"/>
  <c r="BZ9" i="16"/>
  <c r="BZ12" i="16"/>
  <c r="BZ14" i="16"/>
  <c r="BZ16" i="16"/>
  <c r="BZ13" i="16"/>
  <c r="BZ15" i="16"/>
  <c r="BZ21" i="16"/>
  <c r="BZ17" i="16"/>
  <c r="BZ20" i="16"/>
  <c r="BZ22" i="16"/>
  <c r="BZ11" i="16"/>
  <c r="BZ18" i="16"/>
  <c r="BZ19" i="16"/>
  <c r="BZ23" i="16"/>
  <c r="BZ24" i="16"/>
  <c r="BZ26" i="16"/>
  <c r="BZ28" i="16"/>
  <c r="BZ30" i="16"/>
  <c r="BZ32" i="16"/>
  <c r="BZ25" i="16"/>
  <c r="BZ27" i="16"/>
  <c r="BZ29" i="16"/>
  <c r="BZ31" i="16"/>
  <c r="BZ35" i="16"/>
  <c r="BZ36" i="16"/>
  <c r="BZ38" i="16"/>
  <c r="BZ33" i="16"/>
  <c r="BZ34" i="16"/>
  <c r="BZ37" i="16"/>
  <c r="BZ39" i="16"/>
  <c r="BZ43" i="16"/>
  <c r="BZ40" i="16"/>
  <c r="BZ41" i="16"/>
  <c r="BZ42" i="16"/>
  <c r="BZ45" i="16"/>
  <c r="BZ47" i="16"/>
  <c r="BZ49" i="16"/>
  <c r="BZ51" i="16"/>
  <c r="BZ53" i="16"/>
  <c r="BZ55" i="16"/>
  <c r="BZ57" i="16"/>
  <c r="CX4" i="16"/>
  <c r="CX6" i="16"/>
  <c r="CX8" i="16"/>
  <c r="CX3" i="16"/>
  <c r="CX5" i="16"/>
  <c r="CX7" i="16"/>
  <c r="CX9" i="16"/>
  <c r="CX12" i="16"/>
  <c r="CX14" i="16"/>
  <c r="CX16" i="16"/>
  <c r="CX10" i="16"/>
  <c r="CX17" i="16"/>
  <c r="CX18" i="16"/>
  <c r="CX19" i="16"/>
  <c r="CX21" i="16"/>
  <c r="CX11" i="16"/>
  <c r="CX13" i="16"/>
  <c r="CX20" i="16"/>
  <c r="CX22" i="16"/>
  <c r="CX15" i="16"/>
  <c r="CX24" i="16"/>
  <c r="CX26" i="16"/>
  <c r="CX28" i="16"/>
  <c r="CX30" i="16"/>
  <c r="CX32" i="16"/>
  <c r="CX27" i="16"/>
  <c r="CX29" i="16"/>
  <c r="CX31" i="16"/>
  <c r="CX36" i="16"/>
  <c r="CX38" i="16"/>
  <c r="CX23" i="16"/>
  <c r="CX35" i="16"/>
  <c r="CX25" i="16"/>
  <c r="CX34" i="16"/>
  <c r="CX37" i="16"/>
  <c r="CX39" i="16"/>
  <c r="CX33" i="16"/>
  <c r="CX45" i="16"/>
  <c r="CX47" i="16"/>
  <c r="CX49" i="16"/>
  <c r="CX51" i="16"/>
  <c r="CX53" i="16"/>
  <c r="CX55" i="16"/>
  <c r="CX40" i="16"/>
  <c r="CX43" i="16"/>
  <c r="BN50" i="16"/>
  <c r="CL48" i="16"/>
  <c r="BQ3" i="16"/>
  <c r="BQ5" i="16"/>
  <c r="BQ7" i="16"/>
  <c r="BQ9" i="16"/>
  <c r="BQ4" i="16"/>
  <c r="BQ6" i="16"/>
  <c r="BQ8" i="16"/>
  <c r="BQ10" i="16"/>
  <c r="BQ11" i="16"/>
  <c r="BQ13" i="16"/>
  <c r="BQ15" i="16"/>
  <c r="BQ17" i="16"/>
  <c r="BQ12" i="16"/>
  <c r="BQ20" i="16"/>
  <c r="BQ14" i="16"/>
  <c r="BQ16" i="16"/>
  <c r="BQ19" i="16"/>
  <c r="BQ18" i="16"/>
  <c r="BQ21" i="16"/>
  <c r="BQ23" i="16"/>
  <c r="BQ24" i="16"/>
  <c r="BQ27" i="16"/>
  <c r="BQ29" i="16"/>
  <c r="BQ31" i="16"/>
  <c r="BQ33" i="16"/>
  <c r="BQ22" i="16"/>
  <c r="BQ25" i="16"/>
  <c r="BQ26" i="16"/>
  <c r="BQ28" i="16"/>
  <c r="BQ30" i="16"/>
  <c r="BQ32" i="16"/>
  <c r="BQ37" i="16"/>
  <c r="BQ39" i="16"/>
  <c r="BQ38" i="16"/>
  <c r="BQ40" i="16"/>
  <c r="BQ36" i="16"/>
  <c r="BQ34" i="16"/>
  <c r="BQ35" i="16"/>
  <c r="BQ42" i="16"/>
  <c r="BQ43" i="16"/>
  <c r="BQ41" i="16"/>
  <c r="BQ44" i="16"/>
  <c r="BQ46" i="16"/>
  <c r="BQ48" i="16"/>
  <c r="BQ50" i="16"/>
  <c r="BQ52" i="16"/>
  <c r="BQ54" i="16"/>
  <c r="BQ56" i="16"/>
  <c r="BL4" i="16"/>
  <c r="BL6" i="16"/>
  <c r="BL8" i="16"/>
  <c r="BL10" i="16"/>
  <c r="BL3" i="16"/>
  <c r="BL5" i="16"/>
  <c r="BL7" i="16"/>
  <c r="BL9" i="16"/>
  <c r="BL12" i="16"/>
  <c r="BL14" i="16"/>
  <c r="BL16" i="16"/>
  <c r="BL11" i="16"/>
  <c r="BL13" i="16"/>
  <c r="BL15" i="16"/>
  <c r="BL17" i="16"/>
  <c r="BL18" i="16"/>
  <c r="BL20" i="16"/>
  <c r="BL22" i="16"/>
  <c r="BL24" i="16"/>
  <c r="BL19" i="16"/>
  <c r="BL21" i="16"/>
  <c r="BL23" i="16"/>
  <c r="BL27" i="16"/>
  <c r="BL29" i="16"/>
  <c r="BL31" i="16"/>
  <c r="BL33" i="16"/>
  <c r="BL35" i="16"/>
  <c r="BL25" i="16"/>
  <c r="BL26" i="16"/>
  <c r="BL28" i="16"/>
  <c r="BL30" i="16"/>
  <c r="BL32" i="16"/>
  <c r="BL36" i="16"/>
  <c r="BL34" i="16"/>
  <c r="BL37" i="16"/>
  <c r="BL39" i="16"/>
  <c r="BL41" i="16"/>
  <c r="BL43" i="16"/>
  <c r="BL38" i="16"/>
  <c r="BL40" i="16"/>
  <c r="BL45" i="16"/>
  <c r="BL47" i="16"/>
  <c r="BL49" i="16"/>
  <c r="BL51" i="16"/>
  <c r="BL53" i="16"/>
  <c r="BL55" i="16"/>
  <c r="BL57" i="16"/>
  <c r="BL42" i="16"/>
  <c r="BL44" i="16"/>
  <c r="BL46" i="16"/>
  <c r="BL48" i="16"/>
  <c r="BL50" i="16"/>
  <c r="BL52" i="16"/>
  <c r="BR4" i="16"/>
  <c r="BR6" i="16"/>
  <c r="BR8" i="16"/>
  <c r="BR10" i="16"/>
  <c r="BR3" i="16"/>
  <c r="BR5" i="16"/>
  <c r="BR7" i="16"/>
  <c r="BR9" i="16"/>
  <c r="BR12" i="16"/>
  <c r="BR14" i="16"/>
  <c r="BR16" i="16"/>
  <c r="BR11" i="16"/>
  <c r="BR13" i="16"/>
  <c r="BR15" i="16"/>
  <c r="BR17" i="16"/>
  <c r="BR20" i="16"/>
  <c r="BR22" i="16"/>
  <c r="BR24" i="16"/>
  <c r="BR19" i="16"/>
  <c r="BR18" i="16"/>
  <c r="BR21" i="16"/>
  <c r="BR27" i="16"/>
  <c r="BR29" i="16"/>
  <c r="BR31" i="16"/>
  <c r="BR33" i="16"/>
  <c r="BR35" i="16"/>
  <c r="BR23" i="16"/>
  <c r="BR25" i="16"/>
  <c r="BR26" i="16"/>
  <c r="BR28" i="16"/>
  <c r="BR30" i="16"/>
  <c r="BR32" i="16"/>
  <c r="BR34" i="16"/>
  <c r="BR37" i="16"/>
  <c r="BR39" i="16"/>
  <c r="BR41" i="16"/>
  <c r="BR43" i="16"/>
  <c r="BR38" i="16"/>
  <c r="BR40" i="16"/>
  <c r="BR36" i="16"/>
  <c r="BR45" i="16"/>
  <c r="BR47" i="16"/>
  <c r="BR49" i="16"/>
  <c r="BR51" i="16"/>
  <c r="BR53" i="16"/>
  <c r="BR55" i="16"/>
  <c r="BR57" i="16"/>
  <c r="BR42" i="16"/>
  <c r="BR44" i="16"/>
  <c r="BR46" i="16"/>
  <c r="BR48" i="16"/>
  <c r="BR50" i="16"/>
  <c r="BR52" i="16"/>
  <c r="BX4" i="16"/>
  <c r="BX6" i="16"/>
  <c r="BX8" i="16"/>
  <c r="BX10" i="16"/>
  <c r="BX3" i="16"/>
  <c r="BX5" i="16"/>
  <c r="BX7" i="16"/>
  <c r="BX9" i="16"/>
  <c r="BX12" i="16"/>
  <c r="BX14" i="16"/>
  <c r="BX16" i="16"/>
  <c r="BX11" i="16"/>
  <c r="BX13" i="16"/>
  <c r="BX15" i="16"/>
  <c r="BX17" i="16"/>
  <c r="BX20" i="16"/>
  <c r="BX22" i="16"/>
  <c r="BX24" i="16"/>
  <c r="BX19" i="16"/>
  <c r="BX18" i="16"/>
  <c r="BX21" i="16"/>
  <c r="BX27" i="16"/>
  <c r="BX29" i="16"/>
  <c r="BX31" i="16"/>
  <c r="BX33" i="16"/>
  <c r="BX35" i="16"/>
  <c r="BX25" i="16"/>
  <c r="BX26" i="16"/>
  <c r="BX28" i="16"/>
  <c r="BX30" i="16"/>
  <c r="BX32" i="16"/>
  <c r="BX37" i="16"/>
  <c r="BX39" i="16"/>
  <c r="BX41" i="16"/>
  <c r="BX43" i="16"/>
  <c r="BX36" i="16"/>
  <c r="BX38" i="16"/>
  <c r="BX40" i="16"/>
  <c r="BX23" i="16"/>
  <c r="BX34" i="16"/>
  <c r="BX42" i="16"/>
  <c r="BX45" i="16"/>
  <c r="BX47" i="16"/>
  <c r="BX49" i="16"/>
  <c r="BX51" i="16"/>
  <c r="BX53" i="16"/>
  <c r="BX55" i="16"/>
  <c r="BX57" i="16"/>
  <c r="BX44" i="16"/>
  <c r="BX46" i="16"/>
  <c r="BX48" i="16"/>
  <c r="BX50" i="16"/>
  <c r="BX52" i="16"/>
  <c r="CD4" i="16"/>
  <c r="CD6" i="16"/>
  <c r="CD8" i="16"/>
  <c r="CD10" i="16"/>
  <c r="CD3" i="16"/>
  <c r="CD5" i="16"/>
  <c r="CD7" i="16"/>
  <c r="CD9" i="16"/>
  <c r="CD12" i="16"/>
  <c r="CD14" i="16"/>
  <c r="CD16" i="16"/>
  <c r="CD11" i="16"/>
  <c r="CD13" i="16"/>
  <c r="CD15" i="16"/>
  <c r="CD17" i="16"/>
  <c r="CD19" i="16"/>
  <c r="CD20" i="16"/>
  <c r="CD22" i="16"/>
  <c r="CD24" i="16"/>
  <c r="CD18" i="16"/>
  <c r="CD21" i="16"/>
  <c r="CD23" i="16"/>
  <c r="CD25" i="16"/>
  <c r="CD27" i="16"/>
  <c r="CD29" i="16"/>
  <c r="CD31" i="16"/>
  <c r="CD33" i="16"/>
  <c r="CD35" i="16"/>
  <c r="CD26" i="16"/>
  <c r="CD28" i="16"/>
  <c r="CD30" i="16"/>
  <c r="CD32" i="16"/>
  <c r="CD37" i="16"/>
  <c r="CD39" i="16"/>
  <c r="CD41" i="16"/>
  <c r="CD43" i="16"/>
  <c r="CD34" i="16"/>
  <c r="CD36" i="16"/>
  <c r="CD38" i="16"/>
  <c r="CD40" i="16"/>
  <c r="CD45" i="16"/>
  <c r="CD47" i="16"/>
  <c r="CD49" i="16"/>
  <c r="CD51" i="16"/>
  <c r="CD53" i="16"/>
  <c r="CD55" i="16"/>
  <c r="CD57" i="16"/>
  <c r="CD44" i="16"/>
  <c r="CD46" i="16"/>
  <c r="CD48" i="16"/>
  <c r="CD50" i="16"/>
  <c r="CD52" i="16"/>
  <c r="CJ4" i="16"/>
  <c r="CJ6" i="16"/>
  <c r="CJ8" i="16"/>
  <c r="CJ10" i="16"/>
  <c r="CJ3" i="16"/>
  <c r="CJ5" i="16"/>
  <c r="CJ7" i="16"/>
  <c r="CJ9" i="16"/>
  <c r="CJ12" i="16"/>
  <c r="CJ14" i="16"/>
  <c r="CJ16" i="16"/>
  <c r="CJ11" i="16"/>
  <c r="CJ13" i="16"/>
  <c r="CJ15" i="16"/>
  <c r="CJ17" i="16"/>
  <c r="CJ19" i="16"/>
  <c r="CJ18" i="16"/>
  <c r="CJ20" i="16"/>
  <c r="CJ22" i="16"/>
  <c r="CJ24" i="16"/>
  <c r="CJ21" i="16"/>
  <c r="CJ25" i="16"/>
  <c r="CJ27" i="16"/>
  <c r="CJ29" i="16"/>
  <c r="CJ31" i="16"/>
  <c r="CJ33" i="16"/>
  <c r="CJ35" i="16"/>
  <c r="CJ23" i="16"/>
  <c r="CJ26" i="16"/>
  <c r="CJ28" i="16"/>
  <c r="CJ30" i="16"/>
  <c r="CJ32" i="16"/>
  <c r="CJ37" i="16"/>
  <c r="CJ39" i="16"/>
  <c r="CJ41" i="16"/>
  <c r="CJ43" i="16"/>
  <c r="CJ34" i="16"/>
  <c r="CJ36" i="16"/>
  <c r="CJ38" i="16"/>
  <c r="CJ40" i="16"/>
  <c r="CJ45" i="16"/>
  <c r="CJ47" i="16"/>
  <c r="CJ49" i="16"/>
  <c r="CJ51" i="16"/>
  <c r="CJ53" i="16"/>
  <c r="CJ55" i="16"/>
  <c r="CJ57" i="16"/>
  <c r="CJ44" i="16"/>
  <c r="CJ46" i="16"/>
  <c r="CJ48" i="16"/>
  <c r="CJ50" i="16"/>
  <c r="CJ52" i="16"/>
  <c r="CP4" i="16"/>
  <c r="CP6" i="16"/>
  <c r="CP8" i="16"/>
  <c r="CP10" i="16"/>
  <c r="CP3" i="16"/>
  <c r="CP5" i="16"/>
  <c r="CP7" i="16"/>
  <c r="CP9" i="16"/>
  <c r="CP12" i="16"/>
  <c r="CP14" i="16"/>
  <c r="CP16" i="16"/>
  <c r="CP11" i="16"/>
  <c r="CP13" i="16"/>
  <c r="CP15" i="16"/>
  <c r="CP17" i="16"/>
  <c r="CP19" i="16"/>
  <c r="CP18" i="16"/>
  <c r="CP20" i="16"/>
  <c r="CP22" i="16"/>
  <c r="CP21" i="16"/>
  <c r="CP23" i="16"/>
  <c r="CP27" i="16"/>
  <c r="CP29" i="16"/>
  <c r="CP31" i="16"/>
  <c r="CP33" i="16"/>
  <c r="CP35" i="16"/>
  <c r="CP26" i="16"/>
  <c r="CP28" i="16"/>
  <c r="CP30" i="16"/>
  <c r="CP24" i="16"/>
  <c r="CP37" i="16"/>
  <c r="CP39" i="16"/>
  <c r="CP41" i="16"/>
  <c r="CP43" i="16"/>
  <c r="CP25" i="16"/>
  <c r="CP34" i="16"/>
  <c r="CP32" i="16"/>
  <c r="CP36" i="16"/>
  <c r="CP38" i="16"/>
  <c r="CP40" i="16"/>
  <c r="CP45" i="16"/>
  <c r="CP47" i="16"/>
  <c r="CP49" i="16"/>
  <c r="CP51" i="16"/>
  <c r="CP53" i="16"/>
  <c r="CP55" i="16"/>
  <c r="CP57" i="16"/>
  <c r="CP42" i="16"/>
  <c r="CP44" i="16"/>
  <c r="CP46" i="16"/>
  <c r="CP48" i="16"/>
  <c r="CP50" i="16"/>
  <c r="CP52" i="16"/>
  <c r="CV4" i="16"/>
  <c r="CV6" i="16"/>
  <c r="CV8" i="16"/>
  <c r="CV10" i="16"/>
  <c r="CV3" i="16"/>
  <c r="CV5" i="16"/>
  <c r="CV7" i="16"/>
  <c r="CV9" i="16"/>
  <c r="CV12" i="16"/>
  <c r="CV14" i="16"/>
  <c r="CV16" i="16"/>
  <c r="CV11" i="16"/>
  <c r="CV13" i="16"/>
  <c r="CV15" i="16"/>
  <c r="CV17" i="16"/>
  <c r="CV18" i="16"/>
  <c r="CV20" i="16"/>
  <c r="CV22" i="16"/>
  <c r="CV19" i="16"/>
  <c r="CV21" i="16"/>
  <c r="CV27" i="16"/>
  <c r="CV29" i="16"/>
  <c r="CV31" i="16"/>
  <c r="CV33" i="16"/>
  <c r="CV35" i="16"/>
  <c r="CV23" i="16"/>
  <c r="CV24" i="16"/>
  <c r="CV25" i="16"/>
  <c r="CV26" i="16"/>
  <c r="CV28" i="16"/>
  <c r="CV30" i="16"/>
  <c r="CV34" i="16"/>
  <c r="CV37" i="16"/>
  <c r="CV39" i="16"/>
  <c r="CV41" i="16"/>
  <c r="CV43" i="16"/>
  <c r="CV32" i="16"/>
  <c r="CV36" i="16"/>
  <c r="CV38" i="16"/>
  <c r="CV40" i="16"/>
  <c r="CV45" i="16"/>
  <c r="CV47" i="16"/>
  <c r="CV49" i="16"/>
  <c r="CV51" i="16"/>
  <c r="CV53" i="16"/>
  <c r="CV55" i="16"/>
  <c r="CV57" i="16"/>
  <c r="CV42" i="16"/>
  <c r="CV44" i="16"/>
  <c r="CV46" i="16"/>
  <c r="CV48" i="16"/>
  <c r="CV50" i="16"/>
  <c r="CV52" i="16"/>
  <c r="DB4" i="16"/>
  <c r="DB6" i="16"/>
  <c r="DB8" i="16"/>
  <c r="DB10" i="16"/>
  <c r="DB3" i="16"/>
  <c r="DB5" i="16"/>
  <c r="DB7" i="16"/>
  <c r="DB9" i="16"/>
  <c r="DB12" i="16"/>
  <c r="DB14" i="16"/>
  <c r="DB16" i="16"/>
  <c r="DB11" i="16"/>
  <c r="DB13" i="16"/>
  <c r="DB15" i="16"/>
  <c r="DB17" i="16"/>
  <c r="DB20" i="16"/>
  <c r="DB22" i="16"/>
  <c r="DB18" i="16"/>
  <c r="DB19" i="16"/>
  <c r="DB21" i="16"/>
  <c r="DB23" i="16"/>
  <c r="DB27" i="16"/>
  <c r="DB29" i="16"/>
  <c r="DB31" i="16"/>
  <c r="DB33" i="16"/>
  <c r="DB35" i="16"/>
  <c r="DB24" i="16"/>
  <c r="DB25" i="16"/>
  <c r="DB26" i="16"/>
  <c r="DB28" i="16"/>
  <c r="DB30" i="16"/>
  <c r="DB32" i="16"/>
  <c r="DB34" i="16"/>
  <c r="DB37" i="16"/>
  <c r="DB39" i="16"/>
  <c r="DB41" i="16"/>
  <c r="DB43" i="16"/>
  <c r="DB36" i="16"/>
  <c r="DB38" i="16"/>
  <c r="DB40" i="16"/>
  <c r="DB45" i="16"/>
  <c r="DB47" i="16"/>
  <c r="DB49" i="16"/>
  <c r="DB51" i="16"/>
  <c r="DB53" i="16"/>
  <c r="DB55" i="16"/>
  <c r="DB57" i="16"/>
  <c r="DB42" i="16"/>
  <c r="DB44" i="16"/>
  <c r="DB46" i="16"/>
  <c r="DB48" i="16"/>
  <c r="DB50" i="16"/>
  <c r="DB52" i="16"/>
  <c r="DH4" i="16"/>
  <c r="DH6" i="16"/>
  <c r="DH8" i="16"/>
  <c r="DH10" i="16"/>
  <c r="DH3" i="16"/>
  <c r="DH5" i="16"/>
  <c r="DH7" i="16"/>
  <c r="DH9" i="16"/>
  <c r="DH12" i="16"/>
  <c r="DH14" i="16"/>
  <c r="DH16" i="16"/>
  <c r="DH11" i="16"/>
  <c r="DH13" i="16"/>
  <c r="DH15" i="16"/>
  <c r="DH20" i="16"/>
  <c r="DH22" i="16"/>
  <c r="DH17" i="16"/>
  <c r="DH18" i="16"/>
  <c r="DH19" i="16"/>
  <c r="DH27" i="16"/>
  <c r="DH29" i="16"/>
  <c r="DH31" i="16"/>
  <c r="DH33" i="16"/>
  <c r="DH35" i="16"/>
  <c r="DH24" i="16"/>
  <c r="DH25" i="16"/>
  <c r="DH21" i="16"/>
  <c r="DH23" i="16"/>
  <c r="DH26" i="16"/>
  <c r="DH28" i="16"/>
  <c r="DH30" i="16"/>
  <c r="DH37" i="16"/>
  <c r="DH39" i="16"/>
  <c r="DH41" i="16"/>
  <c r="DH32" i="16"/>
  <c r="DH36" i="16"/>
  <c r="DH38" i="16"/>
  <c r="DH34" i="16"/>
  <c r="DH42" i="16"/>
  <c r="DH43" i="16"/>
  <c r="DH45" i="16"/>
  <c r="DH47" i="16"/>
  <c r="DH49" i="16"/>
  <c r="DH51" i="16"/>
  <c r="DH53" i="16"/>
  <c r="DH55" i="16"/>
  <c r="DH57" i="16"/>
  <c r="DH40" i="16"/>
  <c r="DH44" i="16"/>
  <c r="DH46" i="16"/>
  <c r="DH48" i="16"/>
  <c r="DH50" i="16"/>
  <c r="DH52" i="16"/>
  <c r="BI2" i="16"/>
  <c r="DH2" i="16"/>
  <c r="DB2" i="16"/>
  <c r="CV2" i="16"/>
  <c r="CP2" i="16"/>
  <c r="CJ2" i="16"/>
  <c r="CD2" i="16"/>
  <c r="BX2" i="16"/>
  <c r="BR2" i="16"/>
  <c r="BL2" i="16"/>
  <c r="DJ58" i="16"/>
  <c r="DC58" i="16"/>
  <c r="CV58" i="16"/>
  <c r="CO58" i="16"/>
  <c r="CH58" i="16"/>
  <c r="BZ58" i="16"/>
  <c r="BS58" i="16"/>
  <c r="BL58" i="16"/>
  <c r="DJ57" i="16"/>
  <c r="DC57" i="16"/>
  <c r="CU57" i="16"/>
  <c r="CN57" i="16"/>
  <c r="CG57" i="16"/>
  <c r="BY57" i="16"/>
  <c r="BP57" i="16"/>
  <c r="DL56" i="16"/>
  <c r="DC56" i="16"/>
  <c r="CT56" i="16"/>
  <c r="CB56" i="16"/>
  <c r="BJ56" i="16"/>
  <c r="DF55" i="16"/>
  <c r="CN55" i="16"/>
  <c r="BV55" i="16"/>
  <c r="CZ54" i="16"/>
  <c r="CH54" i="16"/>
  <c r="BP54" i="16"/>
  <c r="DL53" i="16"/>
  <c r="CT53" i="16"/>
  <c r="CC53" i="16"/>
  <c r="BK53" i="16"/>
  <c r="CX52" i="16"/>
  <c r="CF52" i="16"/>
  <c r="BN52" i="16"/>
  <c r="DA51" i="16"/>
  <c r="CI51" i="16"/>
  <c r="BQ51" i="16"/>
  <c r="DD50" i="16"/>
  <c r="CL50" i="16"/>
  <c r="BT50" i="16"/>
  <c r="DG49" i="16"/>
  <c r="CO49" i="16"/>
  <c r="BW49" i="16"/>
  <c r="DJ48" i="16"/>
  <c r="CR48" i="16"/>
  <c r="BZ48" i="16"/>
  <c r="DM47" i="16"/>
  <c r="CU47" i="16"/>
  <c r="CC47" i="16"/>
  <c r="CX46" i="16"/>
  <c r="CF46" i="16"/>
  <c r="BN46" i="16"/>
  <c r="DA45" i="16"/>
  <c r="CI45" i="16"/>
  <c r="BQ45" i="16"/>
  <c r="DD44" i="16"/>
  <c r="CL44" i="16"/>
  <c r="BT44" i="16"/>
  <c r="DG43" i="16"/>
  <c r="BP43" i="16"/>
  <c r="CZ42" i="16"/>
  <c r="CD42" i="16"/>
  <c r="DM41" i="16"/>
  <c r="CR41" i="16"/>
  <c r="BV41" i="16"/>
  <c r="DG39" i="16"/>
  <c r="CL4" i="16"/>
  <c r="CL6" i="16"/>
  <c r="CL8" i="16"/>
  <c r="CL3" i="16"/>
  <c r="CL5" i="16"/>
  <c r="CL7" i="16"/>
  <c r="CL9" i="16"/>
  <c r="CL10" i="16"/>
  <c r="CL12" i="16"/>
  <c r="CL14" i="16"/>
  <c r="CL16" i="16"/>
  <c r="CL11" i="16"/>
  <c r="CL21" i="16"/>
  <c r="CL13" i="16"/>
  <c r="CL15" i="16"/>
  <c r="CL18" i="16"/>
  <c r="CL19" i="16"/>
  <c r="CL17" i="16"/>
  <c r="CL20" i="16"/>
  <c r="CL22" i="16"/>
  <c r="CL26" i="16"/>
  <c r="CL28" i="16"/>
  <c r="CL30" i="16"/>
  <c r="CL32" i="16"/>
  <c r="CL25" i="16"/>
  <c r="CL24" i="16"/>
  <c r="CL27" i="16"/>
  <c r="CL29" i="16"/>
  <c r="CL31" i="16"/>
  <c r="CL23" i="16"/>
  <c r="CL36" i="16"/>
  <c r="CL38" i="16"/>
  <c r="CL33" i="16"/>
  <c r="CL37" i="16"/>
  <c r="CL39" i="16"/>
  <c r="CL35" i="16"/>
  <c r="CL34" i="16"/>
  <c r="CL40" i="16"/>
  <c r="CL41" i="16"/>
  <c r="CL42" i="16"/>
  <c r="CL45" i="16"/>
  <c r="CL47" i="16"/>
  <c r="CL49" i="16"/>
  <c r="CL51" i="16"/>
  <c r="CL53" i="16"/>
  <c r="CL55" i="16"/>
  <c r="CR52" i="16"/>
  <c r="CX50" i="16"/>
  <c r="BK3" i="16"/>
  <c r="BK5" i="16"/>
  <c r="BK7" i="16"/>
  <c r="BK9" i="16"/>
  <c r="BK4" i="16"/>
  <c r="BK6" i="16"/>
  <c r="BK8" i="16"/>
  <c r="BK10" i="16"/>
  <c r="BK11" i="16"/>
  <c r="BK13" i="16"/>
  <c r="BK15" i="16"/>
  <c r="BK17" i="16"/>
  <c r="BK12" i="16"/>
  <c r="BK14" i="16"/>
  <c r="BK20" i="16"/>
  <c r="BK16" i="16"/>
  <c r="BK19" i="16"/>
  <c r="BK21" i="16"/>
  <c r="BK23" i="16"/>
  <c r="BK18" i="16"/>
  <c r="BK22" i="16"/>
  <c r="BK27" i="16"/>
  <c r="BK29" i="16"/>
  <c r="BK31" i="16"/>
  <c r="BK33" i="16"/>
  <c r="BK24" i="16"/>
  <c r="BK25" i="16"/>
  <c r="BK26" i="16"/>
  <c r="BK28" i="16"/>
  <c r="BK30" i="16"/>
  <c r="BK32" i="16"/>
  <c r="BK34" i="16"/>
  <c r="BK35" i="16"/>
  <c r="BK37" i="16"/>
  <c r="BK39" i="16"/>
  <c r="BK38" i="16"/>
  <c r="BK40" i="16"/>
  <c r="BK36" i="16"/>
  <c r="BK42" i="16"/>
  <c r="BK43" i="16"/>
  <c r="BK41" i="16"/>
  <c r="BK44" i="16"/>
  <c r="BK46" i="16"/>
  <c r="BK48" i="16"/>
  <c r="BK50" i="16"/>
  <c r="BK52" i="16"/>
  <c r="BK54" i="16"/>
  <c r="BK56" i="16"/>
  <c r="BM4" i="16"/>
  <c r="BM6" i="16"/>
  <c r="BM8" i="16"/>
  <c r="BM10" i="16"/>
  <c r="BM3" i="16"/>
  <c r="BM5" i="16"/>
  <c r="BM7" i="16"/>
  <c r="BM9" i="16"/>
  <c r="BM12" i="16"/>
  <c r="BM14" i="16"/>
  <c r="BM16" i="16"/>
  <c r="BM18" i="16"/>
  <c r="BM11" i="16"/>
  <c r="BM13" i="16"/>
  <c r="BM15" i="16"/>
  <c r="BM17" i="16"/>
  <c r="BM19" i="16"/>
  <c r="BM21" i="16"/>
  <c r="BM23" i="16"/>
  <c r="BM25" i="16"/>
  <c r="BM20" i="16"/>
  <c r="BM22" i="16"/>
  <c r="BM27" i="16"/>
  <c r="BM29" i="16"/>
  <c r="BM31" i="16"/>
  <c r="BM24" i="16"/>
  <c r="BM26" i="16"/>
  <c r="BM28" i="16"/>
  <c r="BM35" i="16"/>
  <c r="BM36" i="16"/>
  <c r="BM30" i="16"/>
  <c r="BM34" i="16"/>
  <c r="BM37" i="16"/>
  <c r="BM39" i="16"/>
  <c r="BM32" i="16"/>
  <c r="BM33" i="16"/>
  <c r="BM38" i="16"/>
  <c r="BM40" i="16"/>
  <c r="BM45" i="16"/>
  <c r="BM47" i="16"/>
  <c r="BM49" i="16"/>
  <c r="BM51" i="16"/>
  <c r="BM53" i="16"/>
  <c r="BM43" i="16"/>
  <c r="BM41" i="16"/>
  <c r="BM42" i="16"/>
  <c r="BS4" i="16"/>
  <c r="BS6" i="16"/>
  <c r="BS8" i="16"/>
  <c r="BS10" i="16"/>
  <c r="BS3" i="16"/>
  <c r="BS5" i="16"/>
  <c r="BS7" i="16"/>
  <c r="BS9" i="16"/>
  <c r="BS12" i="16"/>
  <c r="BS14" i="16"/>
  <c r="BS16" i="16"/>
  <c r="BS18" i="16"/>
  <c r="BS11" i="16"/>
  <c r="BS13" i="16"/>
  <c r="BS15" i="16"/>
  <c r="BS17" i="16"/>
  <c r="BS21" i="16"/>
  <c r="BS23" i="16"/>
  <c r="BS25" i="16"/>
  <c r="BS20" i="16"/>
  <c r="BS22" i="16"/>
  <c r="BS19" i="16"/>
  <c r="BS24" i="16"/>
  <c r="BS27" i="16"/>
  <c r="BS29" i="16"/>
  <c r="BS31" i="16"/>
  <c r="BS35" i="16"/>
  <c r="BS36" i="16"/>
  <c r="BS26" i="16"/>
  <c r="BS34" i="16"/>
  <c r="BS28" i="16"/>
  <c r="BS33" i="16"/>
  <c r="BS37" i="16"/>
  <c r="BS39" i="16"/>
  <c r="BS30" i="16"/>
  <c r="BS32" i="16"/>
  <c r="BS38" i="16"/>
  <c r="BS40" i="16"/>
  <c r="BS43" i="16"/>
  <c r="BS45" i="16"/>
  <c r="BS47" i="16"/>
  <c r="BS49" i="16"/>
  <c r="BS51" i="16"/>
  <c r="BS53" i="16"/>
  <c r="BS41" i="16"/>
  <c r="BS42" i="16"/>
  <c r="BY4" i="16"/>
  <c r="BY6" i="16"/>
  <c r="BY8" i="16"/>
  <c r="BY10" i="16"/>
  <c r="BY3" i="16"/>
  <c r="BY5" i="16"/>
  <c r="BY7" i="16"/>
  <c r="BY9" i="16"/>
  <c r="BY12" i="16"/>
  <c r="BY14" i="16"/>
  <c r="BY16" i="16"/>
  <c r="BY18" i="16"/>
  <c r="BY11" i="16"/>
  <c r="BY13" i="16"/>
  <c r="BY15" i="16"/>
  <c r="BY17" i="16"/>
  <c r="BY21" i="16"/>
  <c r="BY23" i="16"/>
  <c r="BY25" i="16"/>
  <c r="BY20" i="16"/>
  <c r="BY22" i="16"/>
  <c r="BY19" i="16"/>
  <c r="BY27" i="16"/>
  <c r="BY29" i="16"/>
  <c r="BY31" i="16"/>
  <c r="BY33" i="16"/>
  <c r="BY34" i="16"/>
  <c r="BY26" i="16"/>
  <c r="BY37" i="16"/>
  <c r="BY39" i="16"/>
  <c r="BY28" i="16"/>
  <c r="BY24" i="16"/>
  <c r="BY30" i="16"/>
  <c r="BY32" i="16"/>
  <c r="BY35" i="16"/>
  <c r="BY36" i="16"/>
  <c r="BY38" i="16"/>
  <c r="BY40" i="16"/>
  <c r="BY43" i="16"/>
  <c r="BY41" i="16"/>
  <c r="BY42" i="16"/>
  <c r="BY45" i="16"/>
  <c r="BY47" i="16"/>
  <c r="BY49" i="16"/>
  <c r="BY51" i="16"/>
  <c r="BY53" i="16"/>
  <c r="CE4" i="16"/>
  <c r="CE6" i="16"/>
  <c r="CE8" i="16"/>
  <c r="CE10" i="16"/>
  <c r="CE3" i="16"/>
  <c r="CE5" i="16"/>
  <c r="CE7" i="16"/>
  <c r="CE9" i="16"/>
  <c r="CE12" i="16"/>
  <c r="CE14" i="16"/>
  <c r="CE16" i="16"/>
  <c r="CE18" i="16"/>
  <c r="CE11" i="16"/>
  <c r="CE13" i="16"/>
  <c r="CE15" i="16"/>
  <c r="CE17" i="16"/>
  <c r="CE21" i="16"/>
  <c r="CE23" i="16"/>
  <c r="CE25" i="16"/>
  <c r="CE19" i="16"/>
  <c r="CE20" i="16"/>
  <c r="CE22" i="16"/>
  <c r="CE27" i="16"/>
  <c r="CE29" i="16"/>
  <c r="CE31" i="16"/>
  <c r="CE24" i="16"/>
  <c r="CE32" i="16"/>
  <c r="CE37" i="16"/>
  <c r="CE39" i="16"/>
  <c r="CE26" i="16"/>
  <c r="CE28" i="16"/>
  <c r="CE33" i="16"/>
  <c r="CE35" i="16"/>
  <c r="CE30" i="16"/>
  <c r="CE34" i="16"/>
  <c r="CE36" i="16"/>
  <c r="CE38" i="16"/>
  <c r="CE40" i="16"/>
  <c r="CE41" i="16"/>
  <c r="CE42" i="16"/>
  <c r="CE45" i="16"/>
  <c r="CE47" i="16"/>
  <c r="CE49" i="16"/>
  <c r="CE51" i="16"/>
  <c r="CE53" i="16"/>
  <c r="CK4" i="16"/>
  <c r="CK6" i="16"/>
  <c r="CK8" i="16"/>
  <c r="CK10" i="16"/>
  <c r="CK3" i="16"/>
  <c r="CK5" i="16"/>
  <c r="CK7" i="16"/>
  <c r="CK9" i="16"/>
  <c r="CK12" i="16"/>
  <c r="CK14" i="16"/>
  <c r="CK16" i="16"/>
  <c r="CK18" i="16"/>
  <c r="CK11" i="16"/>
  <c r="CK13" i="16"/>
  <c r="CK15" i="16"/>
  <c r="CK17" i="16"/>
  <c r="CK21" i="16"/>
  <c r="CK23" i="16"/>
  <c r="CK25" i="16"/>
  <c r="CK19" i="16"/>
  <c r="CK20" i="16"/>
  <c r="CK22" i="16"/>
  <c r="CK24" i="16"/>
  <c r="CK27" i="16"/>
  <c r="CK29" i="16"/>
  <c r="CK31" i="16"/>
  <c r="CK30" i="16"/>
  <c r="CK32" i="16"/>
  <c r="CK33" i="16"/>
  <c r="CK37" i="16"/>
  <c r="CK39" i="16"/>
  <c r="CK35" i="16"/>
  <c r="CK26" i="16"/>
  <c r="CK34" i="16"/>
  <c r="CK28" i="16"/>
  <c r="CK36" i="16"/>
  <c r="CK38" i="16"/>
  <c r="CK40" i="16"/>
  <c r="CK45" i="16"/>
  <c r="CK47" i="16"/>
  <c r="CK49" i="16"/>
  <c r="CK51" i="16"/>
  <c r="CK53" i="16"/>
  <c r="CQ4" i="16"/>
  <c r="CQ6" i="16"/>
  <c r="CQ8" i="16"/>
  <c r="CQ10" i="16"/>
  <c r="CQ3" i="16"/>
  <c r="CQ5" i="16"/>
  <c r="CQ7" i="16"/>
  <c r="CQ9" i="16"/>
  <c r="CQ12" i="16"/>
  <c r="CQ14" i="16"/>
  <c r="CQ16" i="16"/>
  <c r="CQ18" i="16"/>
  <c r="CQ11" i="16"/>
  <c r="CQ13" i="16"/>
  <c r="CQ15" i="16"/>
  <c r="CQ17" i="16"/>
  <c r="CQ21" i="16"/>
  <c r="CQ23" i="16"/>
  <c r="CQ25" i="16"/>
  <c r="CQ19" i="16"/>
  <c r="CQ20" i="16"/>
  <c r="CQ22" i="16"/>
  <c r="CQ24" i="16"/>
  <c r="CQ27" i="16"/>
  <c r="CQ29" i="16"/>
  <c r="CQ31" i="16"/>
  <c r="CQ28" i="16"/>
  <c r="CQ33" i="16"/>
  <c r="CQ30" i="16"/>
  <c r="CQ35" i="16"/>
  <c r="CQ37" i="16"/>
  <c r="CQ39" i="16"/>
  <c r="CQ34" i="16"/>
  <c r="CQ26" i="16"/>
  <c r="CQ32" i="16"/>
  <c r="CQ36" i="16"/>
  <c r="CQ38" i="16"/>
  <c r="CQ40" i="16"/>
  <c r="CQ45" i="16"/>
  <c r="CQ47" i="16"/>
  <c r="CQ49" i="16"/>
  <c r="CQ51" i="16"/>
  <c r="CQ53" i="16"/>
  <c r="CQ43" i="16"/>
  <c r="CW4" i="16"/>
  <c r="CW6" i="16"/>
  <c r="CW8" i="16"/>
  <c r="CW10" i="16"/>
  <c r="CW3" i="16"/>
  <c r="CW5" i="16"/>
  <c r="CW7" i="16"/>
  <c r="CW9" i="16"/>
  <c r="CW12" i="16"/>
  <c r="CW14" i="16"/>
  <c r="CW16" i="16"/>
  <c r="CW18" i="16"/>
  <c r="CW11" i="16"/>
  <c r="CW13" i="16"/>
  <c r="CW15" i="16"/>
  <c r="CW17" i="16"/>
  <c r="CW19" i="16"/>
  <c r="CW21" i="16"/>
  <c r="CW23" i="16"/>
  <c r="CW25" i="16"/>
  <c r="CW20" i="16"/>
  <c r="CW22" i="16"/>
  <c r="CW27" i="16"/>
  <c r="CW29" i="16"/>
  <c r="CW31" i="16"/>
  <c r="CW26" i="16"/>
  <c r="CW24" i="16"/>
  <c r="CW28" i="16"/>
  <c r="CW35" i="16"/>
  <c r="CW30" i="16"/>
  <c r="CW34" i="16"/>
  <c r="CW37" i="16"/>
  <c r="CW39" i="16"/>
  <c r="CW32" i="16"/>
  <c r="CW33" i="16"/>
  <c r="CW36" i="16"/>
  <c r="CW38" i="16"/>
  <c r="CW40" i="16"/>
  <c r="CW45" i="16"/>
  <c r="CW47" i="16"/>
  <c r="CW49" i="16"/>
  <c r="CW51" i="16"/>
  <c r="CW43" i="16"/>
  <c r="CW41" i="16"/>
  <c r="CW42" i="16"/>
  <c r="DC4" i="16"/>
  <c r="DC6" i="16"/>
  <c r="DC8" i="16"/>
  <c r="DC10" i="16"/>
  <c r="DC3" i="16"/>
  <c r="DC5" i="16"/>
  <c r="DC7" i="16"/>
  <c r="DC9" i="16"/>
  <c r="DC12" i="16"/>
  <c r="DC14" i="16"/>
  <c r="DC16" i="16"/>
  <c r="DC18" i="16"/>
  <c r="DC11" i="16"/>
  <c r="DC13" i="16"/>
  <c r="DC15" i="16"/>
  <c r="DC17" i="16"/>
  <c r="DC19" i="16"/>
  <c r="DC21" i="16"/>
  <c r="DC23" i="16"/>
  <c r="DC25" i="16"/>
  <c r="DC20" i="16"/>
  <c r="DC22" i="16"/>
  <c r="DC27" i="16"/>
  <c r="DC29" i="16"/>
  <c r="DC31" i="16"/>
  <c r="DC24" i="16"/>
  <c r="DC35" i="16"/>
  <c r="DC26" i="16"/>
  <c r="DC32" i="16"/>
  <c r="DC34" i="16"/>
  <c r="DC28" i="16"/>
  <c r="DC33" i="16"/>
  <c r="DC37" i="16"/>
  <c r="DC39" i="16"/>
  <c r="DC30" i="16"/>
  <c r="DC36" i="16"/>
  <c r="DC38" i="16"/>
  <c r="DC40" i="16"/>
  <c r="DC43" i="16"/>
  <c r="DC45" i="16"/>
  <c r="DC47" i="16"/>
  <c r="DC49" i="16"/>
  <c r="DC51" i="16"/>
  <c r="DC41" i="16"/>
  <c r="DC42" i="16"/>
  <c r="DI4" i="16"/>
  <c r="DI6" i="16"/>
  <c r="DI8" i="16"/>
  <c r="DI10" i="16"/>
  <c r="DI3" i="16"/>
  <c r="DI5" i="16"/>
  <c r="DI7" i="16"/>
  <c r="DI9" i="16"/>
  <c r="DI12" i="16"/>
  <c r="DI14" i="16"/>
  <c r="DI16" i="16"/>
  <c r="DI18" i="16"/>
  <c r="DI11" i="16"/>
  <c r="DI13" i="16"/>
  <c r="DI15" i="16"/>
  <c r="DI19" i="16"/>
  <c r="DI21" i="16"/>
  <c r="DI23" i="16"/>
  <c r="DI25" i="16"/>
  <c r="DI20" i="16"/>
  <c r="DI22" i="16"/>
  <c r="DI17" i="16"/>
  <c r="DI27" i="16"/>
  <c r="DI29" i="16"/>
  <c r="DI31" i="16"/>
  <c r="DI24" i="16"/>
  <c r="DI33" i="16"/>
  <c r="DI34" i="16"/>
  <c r="DI26" i="16"/>
  <c r="DI37" i="16"/>
  <c r="DI39" i="16"/>
  <c r="DI28" i="16"/>
  <c r="DI30" i="16"/>
  <c r="DI32" i="16"/>
  <c r="DI35" i="16"/>
  <c r="DI36" i="16"/>
  <c r="DI38" i="16"/>
  <c r="DI41" i="16"/>
  <c r="DI42" i="16"/>
  <c r="DI43" i="16"/>
  <c r="DI45" i="16"/>
  <c r="DI47" i="16"/>
  <c r="DI49" i="16"/>
  <c r="DI51" i="16"/>
  <c r="DI40" i="16"/>
  <c r="DM2" i="16"/>
  <c r="DG2" i="16"/>
  <c r="DA2" i="16"/>
  <c r="CU2" i="16"/>
  <c r="CO2" i="16"/>
  <c r="CI2" i="16"/>
  <c r="CC2" i="16"/>
  <c r="BW2" i="16"/>
  <c r="BQ2" i="16"/>
  <c r="BK2" i="16"/>
  <c r="DI58" i="16"/>
  <c r="DB58" i="16"/>
  <c r="CU58" i="16"/>
  <c r="CN58" i="16"/>
  <c r="CF58" i="16"/>
  <c r="BY58" i="16"/>
  <c r="BR58" i="16"/>
  <c r="BK58" i="16"/>
  <c r="DI57" i="16"/>
  <c r="DA57" i="16"/>
  <c r="CT57" i="16"/>
  <c r="CM57" i="16"/>
  <c r="CF57" i="16"/>
  <c r="BW57" i="16"/>
  <c r="BO57" i="16"/>
  <c r="DJ56" i="16"/>
  <c r="DB56" i="16"/>
  <c r="CR56" i="16"/>
  <c r="CJ56" i="16"/>
  <c r="BZ56" i="16"/>
  <c r="BR56" i="16"/>
  <c r="DM55" i="16"/>
  <c r="DE55" i="16"/>
  <c r="CU55" i="16"/>
  <c r="CM55" i="16"/>
  <c r="CC55" i="16"/>
  <c r="BU55" i="16"/>
  <c r="BK55" i="16"/>
  <c r="DH54" i="16"/>
  <c r="CX54" i="16"/>
  <c r="CP54" i="16"/>
  <c r="CF54" i="16"/>
  <c r="BX54" i="16"/>
  <c r="BN54" i="16"/>
  <c r="DK53" i="16"/>
  <c r="DA53" i="16"/>
  <c r="CS53" i="16"/>
  <c r="CB53" i="16"/>
  <c r="BJ53" i="16"/>
  <c r="CW52" i="16"/>
  <c r="CE52" i="16"/>
  <c r="BM52" i="16"/>
  <c r="CZ51" i="16"/>
  <c r="CH51" i="16"/>
  <c r="BP51" i="16"/>
  <c r="DC50" i="16"/>
  <c r="CK50" i="16"/>
  <c r="BS50" i="16"/>
  <c r="DF49" i="16"/>
  <c r="CN49" i="16"/>
  <c r="BV49" i="16"/>
  <c r="DI48" i="16"/>
  <c r="CQ48" i="16"/>
  <c r="BY48" i="16"/>
  <c r="DL47" i="16"/>
  <c r="CT47" i="16"/>
  <c r="CB47" i="16"/>
  <c r="BJ47" i="16"/>
  <c r="CW46" i="16"/>
  <c r="CE46" i="16"/>
  <c r="BM46" i="16"/>
  <c r="CZ45" i="16"/>
  <c r="CH45" i="16"/>
  <c r="BP45" i="16"/>
  <c r="DC44" i="16"/>
  <c r="CK44" i="16"/>
  <c r="BS44" i="16"/>
  <c r="DF43" i="16"/>
  <c r="CK43" i="16"/>
  <c r="BO43" i="16"/>
  <c r="CX42" i="16"/>
  <c r="CC42" i="16"/>
  <c r="DL41" i="16"/>
  <c r="CQ41" i="16"/>
  <c r="BU41" i="16"/>
  <c r="C2" i="1" l="1"/>
  <c r="DO43" i="16"/>
  <c r="DO2" i="16"/>
  <c r="DO51" i="16"/>
  <c r="DO54" i="16"/>
  <c r="DO41" i="16"/>
  <c r="DO40" i="16"/>
  <c r="DO36" i="16"/>
  <c r="DO25" i="16"/>
  <c r="DO21" i="16"/>
  <c r="DO13" i="16"/>
  <c r="DO9" i="16"/>
  <c r="DO49" i="16"/>
  <c r="DO52" i="16"/>
  <c r="DO39" i="16"/>
  <c r="DO38" i="16"/>
  <c r="DO34" i="16"/>
  <c r="DO24" i="16"/>
  <c r="DO16" i="16"/>
  <c r="DO11" i="16"/>
  <c r="DO7" i="16"/>
  <c r="DO47" i="16"/>
  <c r="DO50" i="16"/>
  <c r="DO37" i="16"/>
  <c r="DO22" i="16"/>
  <c r="DO32" i="16"/>
  <c r="DO20" i="16"/>
  <c r="DO14" i="16"/>
  <c r="DO10" i="16"/>
  <c r="DO5" i="16"/>
  <c r="DO45" i="16"/>
  <c r="DO48" i="16"/>
  <c r="DO35" i="16"/>
  <c r="DO31" i="16"/>
  <c r="DO30" i="16"/>
  <c r="DO19" i="16"/>
  <c r="DO12" i="16"/>
  <c r="DO8" i="16"/>
  <c r="DO3" i="16"/>
  <c r="DO58" i="16"/>
  <c r="DO46" i="16"/>
  <c r="DO33" i="16"/>
  <c r="DO29" i="16"/>
  <c r="DO28" i="16"/>
  <c r="DO18" i="16"/>
  <c r="DO17" i="16"/>
  <c r="DO6" i="16"/>
  <c r="DO57" i="16"/>
  <c r="DO55" i="16"/>
  <c r="P20" i="1" s="1"/>
  <c r="K20" i="1" s="1"/>
  <c r="DO53" i="16"/>
  <c r="DO56" i="16"/>
  <c r="DO44" i="16"/>
  <c r="DO42" i="16"/>
  <c r="DO27" i="16"/>
  <c r="DO26" i="16"/>
  <c r="DO23" i="16"/>
  <c r="DO15" i="16"/>
  <c r="DO4" i="16"/>
  <c r="P19" i="1" l="1"/>
  <c r="K19" i="1" s="1"/>
  <c r="P17" i="1"/>
  <c r="K17" i="1" s="1"/>
  <c r="P18" i="1"/>
  <c r="K18" i="1" s="1"/>
  <c r="P2" i="1"/>
  <c r="K2" i="1" s="1"/>
  <c r="P4" i="1"/>
  <c r="K4" i="1" s="1"/>
  <c r="P8" i="1"/>
  <c r="K8" i="1" s="1"/>
  <c r="P10" i="1"/>
  <c r="K10" i="1" s="1"/>
  <c r="P3" i="1"/>
  <c r="K3" i="1" s="1"/>
  <c r="P12" i="1"/>
  <c r="K12" i="1" s="1"/>
  <c r="P7" i="1"/>
  <c r="K7" i="1" s="1"/>
  <c r="P5" i="1"/>
  <c r="K5" i="1" s="1"/>
  <c r="P15" i="1"/>
  <c r="K15" i="1" s="1"/>
  <c r="P14" i="1"/>
  <c r="K14" i="1" s="1"/>
  <c r="P11" i="1"/>
  <c r="K11" i="1" s="1"/>
  <c r="P6" i="1"/>
  <c r="K6" i="1" s="1"/>
  <c r="P9" i="1"/>
  <c r="K9" i="1" s="1"/>
  <c r="P16" i="1"/>
  <c r="K16" i="1" s="1"/>
  <c r="P13" i="1"/>
  <c r="K13" i="1" s="1"/>
  <c r="P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<sst xmlns="http://schemas.openxmlformats.org/spreadsheetml/2006/main" count="1476" uniqueCount="399">
  <si>
    <t>{"success":true,"code":200,"msg":"8","data":[]}</t>
  </si>
  <si>
    <t>{"success":true,"code":200,"msg":"鎴愬姛","data":{}}</t>
  </si>
  <si>
    <t>{"success":true,"code":200,"msg":"鎴愬姛","data":["TFT5_Thresh","TFT5_Kalista","TFT5_Vladimir","TFT5_Brand","TFT5_Varus"]}</t>
  </si>
  <si>
    <t>{"success":true,"code":200,"msg":"鎴愬姛","data":[{"fit":0,"name":"TFTChampion","disname":"绔犻奔鍝ユ槸榄旀硶","type":3,"block":8,"hp":100},{"fit":0,"name":"TFTChampion","disname":"娲昏功涔辫烦灏忔竻鏂?,"type":3,"block":5,"hp":98},{"fit":0,"name":"TFTChampion","disname":"鎴戝氨鏄痑i浣?,"type":3,"block":2,"hp":100},{"fit":0,"name":"TFTChampion","disname":"鍟嗗簵鎵ｉ挶蹇樼粰瑁呭","type":3,"block":1,"hp":100},{"fit":1,"name":"TFTChampion","disname":"涓嶈兘鍏夎帿涓嶇敇濞?,"type":3,"block":0,"hp":100},{"fit":0,"name":"TFTChampion","disname":"缁欐偍鍚楄秴搴?,"type":3,"block":3,"hp":100},{"fit":0,"name":"TFTChampion","disname":"Ss鍙ゅ痉閲屽畨","type":3,"block":6,"hp":98},{"name":"TFT5_Lissandra","disname":"U2000423_TFT5_Lissandra_1","type":5,"block":3,"hp":550},{"name":"TFT5_Lissandra","disname":"U2000435_TFT5_Lissandra_1","type":5,"block":0,"hp":550},{"name":"TFT5_Gragas","disname":"U2000350_TFT5_Gragas_1","type":5,"block":8,"hp":750},{"name":"TFT5_Lissandra","disname":"U2000421_TFT5_Lissandra_4","type":5,"block":7,"hp":550},{"name":"TFT5_Gragas","disname":"U2000334_TFT5_Gragas_4","type":5,"block":8,"hp":750},{"name":"TFT5_Kalista","disname":"U2000401_TFT5_Kalista_2","type":5,"block":8,"hp":500},{"name":"TFT5_Vayne","disname":"U2000102_TFT5_Vayne_4","type":5,"block":5,"hp":650},{"name":"TFT5_Warwick","disname":"U2000276_TFT5_Warwick_4","type":5,"block":2,"hp":700},{"name":"TFT5_Khazix","disname":"U2000305_TFT5_Khazix_4","type":5,"block":1,"hp":500},{"name":"TFT5_Lissandra","disname":"U2000434_TFT5_Lissandra_2","type":5,"block":1,"hp":550},{"name":"TFT5_Leona","disname":"U2000093_TFT5_Leona_2","type":5,"block":0,"hp":700},{"name":"TFT5_Poppy","disname":"U2000247_TFT5_Poppy_4","type":5,"block":0,"hp":600},{"name":"TFT5_Udyr","disname":"U2000160_TFT5_Udyr_4","type":5,"block":3,"hp":700},{"name":"TFT5_Kalista","disname":"U2000392_TFT5_Kalista_2","type":5,"block":3,"hp":500},{"name":"TFT5_Ziggs","disname":"U2000363_TFT5_Ziggs_4","type":5,"block":6,"hp":450}]}</t>
  </si>
  <si>
    <t>{"success":true,"code":200,"msg":"鎴愬姛","data":["TFT5_Soraka","TFT5_Leona","TFT5_Poppy","TFT5_Aatrox","TFT5_Ziggs"]}</t>
  </si>
  <si>
    <t>{"success":true,"code":200,"msg":"鎴愬姛","data":[{"fit":0,"name":"TFTChampion","disname":"绔犻奔鍝ユ槸榄旀硶","type":3,"block":8,"hp":100},{"fit":0,"name":"TFTChampion","disname":"娲昏功涔辫烦灏忔竻鏂?,"type":3,"block":5,"hp":92},{"fit":0,"name":"TFTChampion","disname":"鎴戝氨鏄痑i浣?,"type":3,"block":2,"hp":100},{"fit":0,"name":"TFTChampion","disname":"鍟嗗簵鎵ｉ挶蹇樼粰瑁呭","type":3,"block":1,"hp":100},{"fit":2,"name":"TFTChampion","disname":"涓嶈兘鍏夎帿涓嶇敇濞?,"type":3,"block":0,"hp":100},{"fit":0,"name":"TFTChampion","disname":"缁欐偍鍚楄秴搴?,"type":3,"block":3,"hp":100},{"fit":0,"name":"TFTChampion","disname":"Ss鍙ゅ痉閲屽畨","type":3,"block":6,"hp":92},{"name":"TFT5_Leona","disname":"U2000081_TFT5_Leona_1","type":5,"block":8,"hp":700},{"name":"TFT5_Lissandra","disname":"U2000421_TFT5_Lissandra_5","type":5,"block":7,"hp":550},{"name":"TFT5_Gragas","disname":"U2000334_TFT5_Gragas_5","type":5,"block":8,"hp":750},{"name":"TFT5_Gragas","disname":"U2000350_TFT5_Gragas_2","type":5,"block":8,"hp":750},{"name":"TFT5_Kalista","disname":"U2000401_TFT5_Kalista_3","type":5,"block":8,"hp":500},{"name":"TFT5_Vayne","disname":"U2000102_TFT5_Vayne_5","type":5,"block":5,"hp":650},{"name":"TFT5_Warwick","disname":"U2000276_TFT5_Warwick_5","type":5,"block":2,"hp":700},{"name":"TFT5_Khazix","disname":"U2000305_TFT5_Khazix_5","type":5,"block":1,"hp":500},{"name":"TFT5_Lissandra","disname":"U2000434_TFT5_Lissandra_3","type":5,"block":1,"hp":550},{"name":"TFT5_Leona","disname":"U2000093_TFT5_Leona_3","type":5,"block":0,"hp":700},{"name":"TFT5_Poppy","disname":"U2000247_TFT5_Poppy_5","type":5,"block":0,"hp":600},{"name":"TFT5_Lissandra","disname":"U2000435_TFT5_Lissandra_2","type":5,"block":0,"hp":550},{"name":"TFT5_Udyr","disname":"U2000160_TFT5_Udyr_5","type":5,"block":3,"hp":700},{"name":"TFT5_Kalista","disname":"U2000392_TFT5_Kalista_3","type":5,"block":3,"hp":500},{"name":"TFT5_Lissandra","disname":"U2000423_TFT5_Lissandra_2","type":5,"block":3,"hp":550},{"name":"TFT5_Ziggs","disname":"U2000363_TFT5_Ziggs_5","type":5,"block":6,"hp":450},{"name":"TFT5_Nunu","disname":"U2000892_TFT5_Nunu_1","type":5,"block":3,"hp":900},{"name":"TFT5_Ashe","disname":"U2000853_TFT5_Ashe_1","type":5,"block":3,"hp":550},{"name":"TFT5_Lissandra","disname":"U2000444_TFT5_Lissandra_1","type":5,"block":1,"hp":550}]}</t>
  </si>
  <si>
    <t>{"success":true,"code":200,"msg":"鎴愬姛","data":[{"isme":true,"zt":5,"fit":0,"name":"TFTChampion","disname":"AlphaChess","type":3,"block":7,"hp":88},{"fit":0,"name":"TFTChampion","disname":"绔犻奔鍝ユ槸榄旀硶","type":3,"block":8,"hp":94},{"fit":0,"name":"TFTChampion","disname":"娲昏功涔辫烦灏忔竻鏂?,"type":3,"block":5,"hp":86},{"fit":0,"name":"TFTChampion","disname":"鎴戝氨鏄痑i浣?,"type":3,"block":2,"hp":100},{"fit":1,"name":"TFTChampion","disname":"鍟嗗簵鎵ｉ挶蹇樼粰瑁呭","type":3,"block":1,"hp":100},{"fit":2,"name":"TFTChampion","disname":"涓嶈兘鍏夎帿涓嶇敇濞?,"type":3,"block":0,"hp":100},{"fit":0,"name":"TFTChampion","disname":"缁欐偍鍚楄秴搴?,"type":3,"block":3,"hp":100},{"fit":0,"name":"TFTChampion","disname":"Ss鍙ゅ痉閲屽畨","type":3,"block":6,"hp":90},{"name":"TFT5_Leona","disname":"U2000081_TFT5_Leona_1","type":5,"block":8,"hp":700},{"name":"TFT5_Nunu","disname":"U2000892_TFT5_Nunu_1","type":5,"block":3,"hp":900},{"name":"TFT5_Ashe","disname":"U2000853_TFT5_Ashe_1","type":5,"block":3,"hp":550},{"name":"TFT5_Aatrox","disname":"U2000159_TFT5_Aatrox_1","type":5,"block":7,"hp":650},{"name":"TFT5_Warwick","disname":"U2000304_TFT5_Warwick_1","type":5,"block":7,"hp":700},{"name":"TFT5_Katarina","disname":"U2000951_TFT5_Katarina_1","type":5,"block":6,"hp":700},{"name":"TFT5_Morgana","disname":"U2000783_TFT5_Morgana_1","type":5,"block":6,"hp":850},{"name":"TFT5_Lissandra","disname":"U2000437_TFT5_Lissandra_1","type":5,"block":0,"hp":550},{"name":"TFT5_Gragas","disname":"U2000344_TFT5_Gragas_1","type":5,"block":0,"hp":750},{"name":"TFT5_Lissandra","disname":"U2000421_TFT5_Lissandra_7","type":5,"block":7,"hp":550},{"name":"TFT5_Gragas","disname":"U2000334_TFT5_Gragas_7","type":5,"block":8,"hp":750},{"name":"TFT5_Gragas","disname":"U2000350_TFT5_Gragas_4","type":5,"block":8,"hp":750},{"name":"TFT5_Kalista","disname":"U2000401_TFT5_Kalista_5","type":5,"block":8,"hp":500},{"name":"TFT5_Vayne","disname":"U2000102_TFT5_Vayne_7","type":5,"block":5,"hp":650},{"name":"TFT5_Warwick","disname":"U2000276_TFT5_Warwick_6","type":5,"block":2,"hp":700},{"name":"TFT5_Khazix","disname":"U2000305_TFT5_Khazix_6","type":5,"block":1,"hp":500},{"name":"TFT5_Lissandra","disname":"U2000434_TFT5_Lissandra_4","type":5,"block":1,"hp":550},{"name":"TFT5_Lissandra","disname":"U2000444_TFT5_Lissandra_2","type":5,"block":1,"hp":550},{"name":"TFT5_Leona","disname":"U2000093_TFT5_Leona_4","type":5,"block":0,"hp":700},{"name":"TFT5_Poppy","disname":"U2000247_TFT5_Poppy_6","type":5,"block":0,"hp":600},{"name":"TFT5_Lissandra","disname":"U2000435_TFT5_Lissandra_3","type":5,"block":0,"hp":550},{"name":"TFT5_Udyr","disname":"U2000160_TFT5_Udyr_6","type":5,"block":3,"hp":700},{"name":"TFT5_Kalista","disname":"U2000392_TFT5_Kalista_4","type":5,"block":3,"hp":500},{"name":"TFT5_Lissandra","disname":"U2000423_TFT5_Lissandra_3","type":5,"block":3,"hp":550},{"name":"TFT5_Ziggs","disname":"U2000363_TFT5_Ziggs_7","type":5,"block":6,"hp":450}]}</t>
  </si>
  <si>
    <t>{"success":true,"code":200,"msg":"鎴愬姛","data":["Sold","Sold","TFT5_Ziggs","TFT5_Kennen","TFT5_Syndra"]}</t>
  </si>
  <si>
    <t>{"success":true,"code":200,"msg":"7","data":[]}</t>
  </si>
  <si>
    <t>{"success":true,"code":200,"msg":"鎴愬姛","data":["TFT5_Khazix","TFT5_Ashe","TFT5_Vladimir","TFT5_Hecarim","TFT5_Lissandra"]}</t>
  </si>
  <si>
    <t>{"success":true,"code":200,"msg":"1","data":[]}</t>
  </si>
  <si>
    <t>{"success":true,"code":200,"msg":"2","data":[]}</t>
  </si>
  <si>
    <t>{"success":true,"code":200,"msg":"鎴愬姛","data":["TFT5_Trundle","TFT5_Morgana","TFT5_Sett","TFT5_Ziggs","TFT5_Syndra"]}</t>
  </si>
  <si>
    <t>{"success":true,"code":200,"msg":"鎴愬姛","data":[{"isme":true,"zt":5,"fit":0,"name":"TFTChampion","disname":"AlphaChess","type":3,"block":7,"hp":84},{"fit":0,"name":"TFTChampion","disname":"绔犻奔鍝ユ槸榄旀硶","type":3,"block":8,"hp":90},{"fit":0,"name":"TFTChampion","disname":"娲昏功涔辫烦灏忔竻鏂?,"type":3,"block":5,"hp":84},{"fit":0,"name":"TFTChampion","disname":"鎴戝氨鏄痑i浣?,"type":3,"block":2,"hp":92},{"fit":1,"name":"TFTChampion","disname":"鍟嗗簵鎵ｉ挶蹇樼粰瑁呭","type":3,"block":1,"hp":88},{"fit":3,"name":"TFTChampion","disname":"涓嶈兘鍏夎帿涓嶇敇濞?,"type":3,"block":0,"hp":100},{"fit":1,"name":"TFTChampion","disname":"缁欐偍鍚楄秴搴?,"type":3,"block":3,"hp":94},{"fit":0,"name":"TFTChampion","disname":"Ss鍙ゅ痉閲屽畨","type":3,"block":6,"hp":88},{"name":"TFT5_Ashe","disname":"U2000853_TFT5_Ashe_1","type":5,"block":3,"hp":550},{"name":"TFT5_Lissandra","disname":"U2000437_TFT5_Lissandra_1","type":5,"block":0,"hp":550},{"name":"TFT5_Nunu","disname":"U2000898_TFT5_Nunu_1","type":5,"block":0,"hp":900},{"name":"TFT5_Lulu","disname":"U2000840_TFT5_Lulu_1","type":5,"block":0,"hp":650},{"name":"TFT5_Thresh","disname":"U2000661_TFT5_Thresh_1","type":5,"block":7,"hp":800},{"name":"TFT5_Vayne","disname":"U2000117_TFT5_Vayne_1","type":5,"block":5,"hp":500},{"name":"TFT5_Vayne","disname":"U2000109_TFT5_Vayne_1","type":5,"block":3,"hp":500},{"name":"TFT5_Lissandra","disname":"U2000444_TFT5_Lissandra_4","type":5,"block":1,"hp":550},{"name":"TFT5_Nautilus","disname":"U2000610_TFT5_Nautilus_1","type":5,"block":5,"hp":750},{"name":"TFT5_Soraka","disname":"U2000535_TFT5_Soraka_1","type":5,"block":5,"hp":550},{"name":"TFT5_Thresh","disname":"U2000650_TFT5_Thresh_1","type":5,"block":5,"hp":800},{"name":"TFT5_Gragas","disname":"U2000356_TFT5_Gragas_1","type":5,"block":5,"hp":750},{"name":"TFT5_Lissandra","disname":"U2000445_TFT5_Lissandra_1","type":5,"block":5,"hp":550},{"name":"TFT5_Trundle","disname":"U2000690_TFT5_Trundle_1","type":5,"block":5,"hp":700},{"name":"TFT5_Viktor","disname":"U2000463_TFT5_Viktor_1","type":5,"block":8,"hp":500},{"name":"TFT5_Sejuani","disname":"U2000567_TFT5_Sejuani_1","type":5,"block":8,"hp":750},{"name":"TFT5_Sett","disname":"U2000709_TFT5_Sett_1","type":5,"block":8,"hp":750},{"name":"TFT5_Vayne","disname":"U2000118_TFT5_Vayne_1","type":5,"block":0,"hp":500},{"name":"TFT5_Soraka","disname":"U2000532_TFT5_Soraka_1","type":5,"block":1,"hp":550},{"name":"TFT5_Gragas","disname":"U2000341_TFT5_Gragas_1","type":5,"block":3,"hp":750},{"name":"TFT5_Aatrox","disname":"U2000159_TFT5_Aatrox_4","type":5,"block":7,"hp":650},{"name":"TFT5_Warwick","disname":"U2000304_TFT5_Warwick_4","type":5,"block":7,"hp":700},{"name":"TFT5_Lissandra","disname":"U2000421_TFT5_Lissandra_10","type":5,"block":7,"hp":550},{"name":"TFT5_Viktor","disname":"U2000454_TFT5_Viktor_3","type":5,"block":7,"hp":500},{"name":"TFT5_Leona","disname":"U2000099_TFT5_Leona_2","type":5,"block":8,"hp":700},{"name":"TFT5_Gragas","disname":"U2000334_TFT5_Gragas_8","type":5,"block":8,"hp":750},{"name":"TFT5_Gragas","disname":"U2000350_TFT5_Gragas_7","type":5,"block":8,"hp":750},{"name":"TFT5_Kalista","disname":"U2000401_TFT5_Kalista_8","type":5,"block":8,"hp":500},{"name":"TFT5_Vayne","disname":"U2000102_TFT5_Vayne_11","type":5,"block":5,"hp":650},{"name":"TFT5_Warwick","disname":"U2000301_TFT5_Warwick_3","type":5,"block":5,"hp":1260},{"name":"TFT5_Sejuani","disname":"U2000572_TFT5_Sejuani_3","type":5,"block":5,"hp":750},{"name":"TFT5_Hecarim","disname":"U2000720_TFT5_Hecarim_3","type":5,"block":5,"hp":750},{"name":"TFT5_Warwick","disname":"U2000276_TFT5_Warwick_9","type":5,"block":2,"hp":700},{"name":"TFT5_Vladimir","disname":"U2000212_TFT5_Vladimir_2","type":5,"block":1,"hp":650},{"name":"TFT5_Khazix","disname":"U2000305_TFT5_Khazix_9","type":5,"block":1,"hp":500},{"name":"TFT5_Ziggs","disname":"U2000367_TFT5_Ziggs_2","type":5,"block":1,"hp":450},{"name":"TFT5_Lissandra","disname":"U2000434_TFT5_Lissandra_7","type":5,"block":1,"hp":550},{"name":"TFT5_Leona","disname":"U2000093_TFT5_Leona_7","type":5,"block":0,"hp":700},{"name":"TFT5_Poppy","disname":"U2000247_TFT5_Poppy_9","type":5,"block":0,"hp":600},{"name":"TFT5_Gragas","disname":"U2000344_TFT5_Gragas_2","type":5,"block":0,"hp":750},{"name":"TFT5_Lissandra","disname":"U2000435_TFT5_Lissandra_6","type":5,"block":0,"hp":550},{"name":"TFT5_Udyr","disname":"U2000160_TFT5_Udyr_7","type":5,"block":3,"hp":700},{"name":"TFT5_Kalista","disname":"U2000392_TFT5_Kalista_6","type":5,"block":3,"hp":500},{"name":"TFT5_Lissandra","disname":"U2000423_TFT5_Lissandra_5","type":5,"block":3,"hp":550},{"name":"TFT5_Nunu","disname":"U2000892_TFT5_Nunu_3","type":5,"block":3,"hp":900},{"name":"TFT5_Ziggs","disname":"U2000363_TFT5_Ziggs_10","type":5,"block":6,"hp":450},{"name":"TFT5_Morgana","disname":"U2000783_TFT5_Morgana_4","type":5,"block":6,"hp":850},{"name":"TFT5_Katarina","disname":"U2000951_TFT5_Katarina_4","type":5,"block":6,"hp":700},{"name":"TFT5_Nunu","disname":"U2000883_TFT5_Nunu_2","type":5,"block":7,"hp":900},{"name":"TFT5_LeeSin","disname":"U2000792_TFT5_LeeSin_2","type":5,"block":8,"hp":1000},{"name":"TFT5_Yasuo","disname":"U2000756_TFT5_Yasuo_2","type":5,"block":5,"hp":800},{"name":"TFT5_Lux","disname":"U2000954_TFT5_Lux_2","type":5,"block":2,"hp":600},{"name":"TFT5_Soraka","disname":"U2000519_TFT5_Soraka_2","type":5,"block":1,"hp":550},{"name":"TFT5_Hecarim","disname":"U2000732_TFT5_Hecarim_2","type":5,"block":0,"hp":750},{"name":"TFT5_Sett","disname":"U2000708_TFT5_Sett_2","type":5,"block":3,"hp":750},{"name":"TFT5_Brand","disname":"U2000499_TFT5_Brand_2","type":5,"block":6,"hp":600},{"name":"TFT5_Nautilus","disname":"U2000620_TFT5_Nautilus_1","type":5,"block":3,"hp":750}]}</t>
  </si>
  <si>
    <t>{"success":true,"code":200,"msg":"鎴愬姛","data":["TFT5_Soraka","TFT5_Ziggs","TFT5_Hecarim","TFT5_Soraka","TFT5_Lissandra"]}</t>
  </si>
  <si>
    <t>{"success":true,"code":200,"msg":"鎴愬姛","data":[{"isme":true,"zt":5,"fit":0,"name":"TFTChampion","disname":"AlphaChess","type":3,"block":7,"hp":76},{"fit":0,"name":"TFTChampion","disname":"绔犻奔鍝ユ槸榄旀硶","type":3,"block":8,"hp":78},{"fit":0,"name":"TFTChampion","disname":"娲昏功涔辫烦灏忔竻鏂?,"type":3,"block":5,"hp":84},{"fit":1,"name":"TFTChampion","disname":"鎴戝氨鏄痑i浣?,"type":3,"block":2,"hp":78},{"fit":1,"name":"TFTChampion","disname":"鍟嗗簵鎵ｉ挶蹇樼粰瑁呭","type":3,"block":1,"hp":88},{"fit":3,"name":"TFTChampion","disname":"涓嶈兘鍏夎帿涓嶇敇濞?,"type":3,"block":0,"hp":86},{"fit":1,"name":"TFTChampion","disname":"缁欐偍鍚楄秴搴?,"type":3,"block":3,"hp":88},{"fit":1,"name":"TFTChampion","disname":"Ss鍙ゅ痉閲屽畨","type":3,"block":6,"hp":88},{"name":"TFT5_Vayne","disname":"U2000117_TFT5_Vayne_1","type":5,"block":5,"hp":500},{"name":"TFT5_Lissandra","disname":"U2000444_TFT5_Lissandra_4","type":5,"block":1,"hp":550},{"name":"TFT5_Nautilus","disname":"U2000610_TFT5_Nautilus_1","type":5,"block":5,"hp":750},{"name":"TFT5_Soraka","disname":"U2000535_TFT5_Soraka_1","type":5,"block":5,"hp":550},{"name":"TFT5_Thresh","disname":"U2000650_TFT5_Thresh_1","type":5,"block":5,"hp":800},{"name":"TFT5_Gragas","disname":"U2000356_TFT5_Gragas_1","type":5,"block":5,"hp":750},{"name":"TFT5_Lissandra","disname":"U2000445_TFT5_Lissandra_1","type":5,"block":5,"hp":550},{"name":"TFT5_Trundle","disname":"U2000690_TFT5_Trundle_1","type":5,"block":5,"hp":700},{"name":"TFT5_Viktor","disname":"U2000463_TFT5_Viktor_1","type":5,"block":8,"hp":500},{"name":"TFT5_Sejuani","disname":"U2000567_TFT5_Sejuani_1","type":5,"block":8,"hp":750},{"name":"TFT5_Sett","disname":"U2000709_TFT5_Sett_1","type":5,"block":8,"hp":750},{"name":"TFT5_LeeSin","disname":"U2000792_TFT5_LeeSin_2","type":5,"block":8,"hp":1000},{"name":"TFT5_Yasuo","disname":"U2000756_TFT5_Yasuo_2","type":5,"block":5,"hp":800},{"name":"TFT5_Nautilus","disname":"U2000620_TFT5_Nautilus_1","type":5,"block":3,"hp":750},{"name":"TFT5_Aatrox","disname":"U2000131_TFT5_Aatrox_2","type":5,"block":1,"hp":650},{"name":"TFT5_Khazix","disname":"U2000305_TFT5_Khazix_10","type":5,"block":1,"hp":500},{"name":"TFT5_Ziggs","disname":"U2000367_TFT5_Ziggs_3","type":5,"block":1,"hp":450},{"name":"TFT5_Soraka","disname":"U2000524_TFT5_Soraka_1","type":5,"block":8,"hp":550},{"name":"TFT5_Sejuani","disname":"U2000561_TFT5_Sejuani_1","type":5,"block":1,"hp":750},{"name":"TFT5_Thresh","disname":"U2000662_TFT5_Thresh_1","type":5,"block":8,"hp":800},{"name":"TFT5_Riven","disname":"U2000811_TFT5_Riven_1","type":5,"block":1,"hp":850},{"name":"TFT5_Nidalee","disname":"U2000916_TFT5_Nidalee_1","type":5,"block":1,"hp":800},{"name":"TFT5_Riven","disname":"U2000815_TFT5_Riven_1","type":5,"block":3,"hp":850},{"name":"TFT5_Warwick","disname":"U2000304_TFT5_Warwick_7","type":5,"block":7,"hp":700},{"name":"TFT5_Lissandra","disname":"U2000421_TFT5_Lissandra_13","type":5,"block":7,"hp":550},{"name":"TFT5_Leona","disname":"U2000099_TFT5_Leona_6","type":5,"block":8,"hp":700},{"name":"TFT5_Gragas","disname":"U2000334_TFT5_Gragas_12","type":5,"block":8,"hp":750},{"name":"TFT5_Gragas","disname":"U2000350_TFT5_Gragas_11","type":5,"block":8,"hp":750},{"name":"TFT5_Kalista","disname":"U2000401_TFT5_Kalista_12","type":5,"block":8,"hp":500},{"name":"TFT5_Vayne","disname":"U2000102_TFT5_Vayne_14","type":5,"block":5,"hp":650},{"name":"TFT5_Warwick","disname":"U2000301_TFT5_Warwick_6","type":5,"block":5,"hp":1260},{"name":"TFT5_Sejuani","disname":"U2000572_TFT5_Sejuani_6","type":5,"block":5,"hp":750},{"name":"TFT5_Hecarim","disname":"U2000720_TFT5_Hecarim_6","type":5,"block":5,"hp":750},{"name":"TFT5_Warwick","disname":"U2000276_TFT5_Warwick_11","type":5,"block":2,"hp":700},{"name":"TFT5_Lux","disname":"U2000954_TFT5_Lux_4","type":5,"block":2,"hp":600},{"name":"TFT5_Vladimir","disname":"U2000212_TFT5_Vladimir_4","type":5,"block":1,"hp":650},{"name":"TFT5_Lissandra","disname":"U2000434_TFT5_Lissandra_9","type":5,"block":1,"hp":550},{"name":"TFT5_Soraka","disname":"U2000519_TFT5_Soraka_3","type":5,"block":1,"hp":550},{"name":"TFT5_Soraka","disname":"U2000532_TFT5_Soraka_2","type":5,"block":1,"hp":550},{"name":"TFT5_Leona","disname":"U2000093_TFT5_Leona_10","type":5,"block":0,"hp":700},{"name":"TFT5_Gragas","disname":"U2000344_TFT5_Gragas_5","type":5,"block":0,"hp":750},{"name":"TFT5_Lissandra","disname":"U2000435_TFT5_Lissandra_9","type":5,"block":0,"hp":550},{"name":"TFT5_Lulu","disname":"U2000840_TFT5_Lulu_3","type":5,"block":0,"hp":650},{"name":"TFT5_Udyr","disname":"U2000160_TFT5_Udyr_11","type":5,"block":3,"hp":700},{"name":"TFT5_Kalista","disname":"U2000392_TFT5_Kalista_10","type":5,"block":3,"hp":500},{"name":"TFT5_Lissandra","disname":"U2000423_TFT5_Lissandra_9","type":5,"block":3,"hp":550},{"name":"TFT5_Nunu","disname":"U2000892_TFT5_Nunu_7","type":5,"block":3,"hp":900},{"name":"TFT5_Ziggs","disname":"U2000363_TFT5_Ziggs_13","type":5,"block":6,"hp":450},{"name":"TFT5_Brand","disname":"U2000499_TFT5_Brand_5","type":5,"block":6,"hp":600},{"name":"TFT5_Morgana","disname":"U2000783_TFT5_Morgana_7","type":5,"block":6,"hp":850},{"name":"TFT5_Katarina","disname":"U2000951_TFT5_Katarina_7","type":5,"block":6,"hp":700},{"name":"TFT5_Vladimir","disname":"U2000211_TFT5_Vladimir_1","type":5,"block":1,"hp":650}]}</t>
  </si>
  <si>
    <t>{"success":true,"code":200,"msg":"鎴愬姛","data":[{"isme":true,"zt":5,"fit":0,"name":"TFTChampion","disname":"AlphaChess","type":3,"block":7,"hp":76},{"fit":0,"name":"TFTChampion","disname":"绔犻奔鍝ユ槸榄旀硶","type":3,"block":8,"hp":78},{"fit":0,"name":"TFTChampion","disname":"娲昏功涔辫烦灏忔竻鏂?,"type":3,"block":5,"hp":84},{"fit":1,"name":"TFTChampion","disname":"鎴戝氨鏄痑i浣?,"type":3,"block":2,"hp":78},{"fit":1,"name":"TFTChampion","disname":"鍟嗗簵鎵ｉ挶蹇樼粰瑁呭","type":3,"block":1,"hp":88},{"fit":3,"name":"TFTChampion","disname":"涓嶈兘鍏夎帿涓嶇敇濞?,"type":3,"block":0,"hp":86},{"fit":1,"name":"TFTChampion","disname":"缁欐偍鍚楄秴搴?,"type":3,"block":3,"hp":88},{"fit":1,"name":"TFTChampion","disname":"Ss鍙ゅ痉閲屽畨","type":3,"block":6,"hp":88},{"name":"TFT5_Vayne","disname":"U2000117_TFT5_Vayne_1","type":5,"block":5,"hp":500},{"name":"TFT5_Lissandra","disname":"U2000444_TFT5_Lissandra_4","type":5,"block":1,"hp":550},{"name":"TFT5_Nautilus","disname":"U2000610_TFT5_Nautilus_1","type":5,"block":5,"hp":750},{"name":"TFT5_Soraka","disname":"U2000535_TFT5_Soraka_1","type":5,"block":5,"hp":550},{"name":"TFT5_Thresh","disname":"U2000650_TFT5_Thresh_1","type":5,"block":5,"hp":800},{"name":"TFT5_Gragas","disname":"U2000356_TFT5_Gragas_1","type":5,"block":5,"hp":750},{"name":"TFT5_Lissandra","disname":"U2000445_TFT5_Lissandra_1","type":5,"block":5,"hp":550},{"name":"TFT5_Trundle","disname":"U2000690_TFT5_Trundle_1","type":5,"block":5,"hp":700},{"name":"TFT5_Viktor","disname":"U2000463_TFT5_Viktor_1","type":5,"block":8,"hp":500},{"name":"TFT5_Sejuani","disname":"U2000567_TFT5_Sejuani_1","type":5,"block":8,"hp":750},{"name":"TFT5_Sett","disname":"U2000709_TFT5_Sett_1","type":5,"block":8,"hp":750},{"name":"TFT5_LeeSin","disname":"U2000792_TFT5_LeeSin_2","type":5,"block":8,"hp":1000},{"name":"TFT5_Yasuo","disname":"U2000756_TFT5_Yasuo_2","type":5,"block":5,"hp":800},{"name":"TFT5_Nautilus","disname":"U2000620_TFT5_Nautilus_1","type":5,"block":3,"hp":750},{"name":"TFT5_Aatrox","disname":"U2000131_TFT5_Aatrox_2","type":5,"block":1,"hp":650},{"name":"TFT5_Khazix","disname":"U2000305_TFT5_Khazix_10","type":5,"block":1,"hp":500},{"name":"TFT5_Ziggs","disname":"U2000367_TFT5_Ziggs_3","type":5,"block":1,"hp":450},{"name":"TFT5_Soraka","disname":"U2000524_TFT5_Soraka_1","type":5,"block":8,"hp":550},{"name":"TFT5_Sejuani","disname":"U2000561_TFT5_Sejuani_1","type":5,"block":1,"hp":750},{"name":"TFT5_Thresh","disname":"U2000662_TFT5_Thresh_1","type":5,"block":8,"hp":800},{"name":"TFT5_Riven","disname":"U2000811_TFT5_Riven_1","type":5,"block":1,"hp":850},{"name":"TFT5_Nidalee","disname":"U2000916_TFT5_Nidalee_1","type":5,"block":1,"hp":800},{"name":"TFT5_Riven","disname":"U2000815_TFT5_Riven_1","type":5,"block":3,"hp":850},{"name":"TFT5_Warwick","disname":"U2000304_TFT5_Warwick_7","type":5,"block":7,"hp":700},{"name":"TFT5_Lissandra","disname":"U2000421_TFT5_Lissandra_13","type":5,"block":7,"hp":550},{"name":"TFT5_Leona","disname":"U2000099_TFT5_Leona_6","type":5,"block":8,"hp":700},{"name":"TFT5_Gragas","disname":"U2000334_TFT5_Gragas_12","type":5,"block":8,"hp":750},{"name":"TFT5_Gragas","disname":"U2000350_TFT5_Gragas_11","type":5,"block":8,"hp":750},{"name":"TFT5_Kalista","disname":"U2000401_TFT5_Kalista_12","type":5,"block":8,"hp":500},{"name":"TFT5_Vayne","disname":"U2000102_TFT5_Vayne_14","type":5,"block":5,"hp":650},{"name":"TFT5_Warwick","disname":"U2000301_TFT5_Warwick_6","type":5,"block":5,"hp":1260},{"name":"TFT5_Sejuani","disname":"U2000572_TFT5_Sejuani_6","type":5,"block":5,"hp":750},{"name":"TFT5_Hecarim","disname":"U2000720_TFT5_Hecarim_6","type":5,"block":5,"hp":750},{"name":"TFT5_Warwick","disname":"U2000276_TFT5_Warwick_11","type":5,"block":2,"hp":700},{"name":"TFT5_Lux","disname":"U2000954_TFT5_Lux_4","type":5,"block":2,"hp":600},{"name":"TFT5_Vladimir","disname":"U2000212_TFT5_Vladimir_4","type":5,"block":1,"hp":650},{"name":"TFT5_Lissandra","disname":"U2000434_TFT5_Lissandra_9","type":5,"block":1,"hp":550},{"name":"TFT5_Soraka","disname":"U2000519_TFT5_Soraka_3","type":5,"block":1,"hp":550},{"name":"TFT5_Soraka","disname":"U2000532_TFT5_Soraka_2","type":5,"block":1,"hp":550},{"name":"TFT5_Leona","disname":"U2000093_TFT5_Leona_10","type":5,"block":0,"hp":700},{"name":"TFT5_Gragas","disname":"U2000344_TFT5_Gragas_5","type":5,"block":0,"hp":750},{"name":"TFT5_Lissandra","disname":"U2000435_TFT5_Lissandra_9","type":5,"block":0,"hp":550},{"name":"TFT5_Lulu","disname":"U2000840_TFT5_Lulu_3","type":5,"block":0,"hp":650},{"name":"TFT5_Udyr","disname":"U2000160_TFT5_Udyr_11","type":5,"block":3,"hp":700},{"name":"TFT5_Kalista","disname":"U2000392_TFT5_Kalista_10","type":5,"block":3,"hp":500},{"name":"TFT5_Lissandra","disname":"U2000423_TFT5_Lissandra_9","type":5,"block":3,"hp":550},{"name":"TFT5_Nunu","disname":"U2000892_TFT5_Nunu_7","type":5,"block":3,"hp":900},{"name":"TFT5_Ziggs","disname":"U2000363_TFT5_Ziggs_13","type":5,"block":6,"hp":450},{"name":"TFT5_Brand","disname":"U2000499_TFT5_Brand_5","type":5,"block":6,"hp":600},{"name":"TFT5_Morgana","disname":"U2000783_TFT5_Morgana_7","type":5,"block":6,"hp":850},{"name":"TFT5_Katarina","disname":"U2000951_TFT5_Katarina_7","type":5,"block":6,"hp":700},{"name":"TFT5_Vladimir","disname":"U2000211_TFT5_Vladimir_1","type":5,"block":1,"hp":650},{"name":"TFT5_Yasuo","disname":"U2000772_TFT5_Yasuo_1","type":5,"block":0,"hp":800},{"name":"TFT5_Poppy","disname":"U2000273_TFT5_Poppy_1","type":5,"block":8,"hp":600},{"name":"TFT5_Poppy","disname":"U2000260_TFT5_Poppy_1","type":5,"block":3,"hp":600}]}</t>
  </si>
  <si>
    <t>{"success":true,"code":200,"msg":"鎴愬姛","data":[{"isme":true,"zt":5,"fit":0,"name":"TFTChampion","disname":"AlphaChess","type":3,"block":7,"hp":76},{"fit":0,"name":"TFTChampion","disname":"绔犻奔鍝ユ槸榄旀硶","type":3,"block":8,"hp":78},{"fit":0,"name":"TFTChampion","disname":"娲昏功涔辫烦灏忔竻鏂?,"type":3,"block":5,"hp":84},{"fit":1,"name":"TFTChampion","disname":"鎴戝氨鏄痑i浣?,"type":3,"block":2,"hp":78},{"fit":1,"name":"TFTChampion","disname":"鍟嗗簵鎵ｉ挶蹇樼粰瑁呭","type":3,"block":1,"hp":88},{"fit":3,"name":"TFTChampion","disname":"涓嶈兘鍏夎帿涓嶇敇濞?,"type":3,"block":0,"hp":86},{"fit":1,"name":"TFTChampion","disname":"缁欐偍鍚楄秴搴?,"type":3,"block":3,"hp":88},{"fit":1,"name":"TFTChampion","disname":"Ss鍙ゅ痉閲屽畨","type":3,"block":6,"hp":88},{"name":"TFT5_Vayne","disname":"U2000117_TFT5_Vayne_1","type":5,"block":5,"hp":500},{"name":"TFT5_Lissandra","disname":"U2000444_TFT5_Lissandra_4","type":5,"block":1,"hp":550},{"name":"TFT5_Nautilus","disname":"U2000610_TFT5_Nautilus_1","type":5,"block":5,"hp":750},{"name":"TFT5_Soraka","disname":"U2000535_TFT5_Soraka_1","type":5,"block":5,"hp":550},{"name":"TFT5_Thresh","disname":"U2000650_TFT5_Thresh_1","type":5,"block":5,"hp":800},{"name":"TFT5_Gragas","disname":"U2000356_TFT5_Gragas_1","type":5,"block":5,"hp":750},{"name":"TFT5_Lissandra","disname":"U2000445_TFT5_Lissandra_1","type":5,"block":5,"hp":550},{"name":"TFT5_Trundle","disname":"U2000690_TFT5_Trundle_1","type":5,"block":5,"hp":700},{"name":"TFT5_Viktor","disname":"U2000463_TFT5_Viktor_1","type":5,"block":8,"hp":500},{"name":"TFT5_Sejuani","disname":"U2000567_TFT5_Sejuani_1","type":5,"block":8,"hp":750},{"name":"TFT5_Sett","disname":"U2000709_TFT5_Sett_1","type":5,"block":8,"hp":750},{"name":"TFT5_LeeSin","disname":"U2000792_TFT5_LeeSin_2","type":5,"block":8,"hp":1000},{"name":"TFT5_Yasuo","disname":"U2000756_TFT5_Yasuo_2","type":5,"block":5,"hp":800},{"name":"TFT5_Nautilus","disname":"U2000620_TFT5_Nautilus_1","type":5,"block":3,"hp":750},{"name":"TFT5_Aatrox","disname":"U2000131_TFT5_Aatrox_2","type":5,"block":1,"hp":650},{"name":"TFT5_Khazix","disname":"U2000305_TFT5_Khazix_10","type":5,"block":1,"hp":500},{"name":"TFT5_Ziggs","disname":"U2000367_TFT5_Ziggs_3","type":5,"block":1,"hp":450},{"name":"TFT5_Soraka","disname":"U2000524_TFT5_Soraka_1","type":5,"block":8,"hp":550},{"name":"TFT5_Sejuani","disname":"U2000561_TFT5_Sejuani_1","type":5,"block":1,"hp":750},{"name":"TFT5_Thresh","disname":"U2000662_TFT5_Thresh_1","type":5,"block":8,"hp":800},{"name":"TFT5_Riven","disname":"U2000811_TFT5_Riven_1","type":5,"block":1,"hp":850},{"name":"TFT5_Nidalee","disname":"U2000916_TFT5_Nidalee_1","type":5,"block":1,"hp":800},{"name":"TFT5_Riven","disname":"U2000815_TFT5_Riven_1","type":5,"block":3,"hp":850},{"name":"TFT5_Warwick","disname":"U2000304_TFT5_Warwick_7","type":5,"block":7,"hp":700},{"name":"TFT5_Lissandra","disname":"U2000421_TFT5_Lissandra_13","type":5,"block":7,"hp":550},{"name":"TFT5_Leona","disname":"U2000099_TFT5_Leona_6","type":5,"block":8,"hp":700},{"name":"TFT5_Gragas","disname":"U2000334_TFT5_Gragas_12","type":5,"block":8,"hp":750},{"name":"TFT5_Gragas","disname":"U2000350_TFT5_Gragas_11","type":5,"block":8,"hp":750},{"name":"TFT5_Kalista","disname":"U2000401_TFT5_Kalista_12","type":5,"block":8,"hp":500},{"name":"TFT5_Vayne","disname":"U2000102_TFT5_Vayne_14","type":5,"block":5,"hp":650},{"name":"TFT5_Warwick","disname":"U2000301_TFT5_Warwick_6","type":5,"block":5,"hp":1260},{"name":"TFT5_Sejuani","disname":"U2000572_TFT5_Sejuani_6","type":5,"block":5,"hp":750},{"name":"TFT5_Hecarim","disname":"U2000720_TFT5_Hecarim_6","type":5,"block":5,"hp":750},{"name":"TFT5_Warwick","disname":"U2000276_TFT5_Warwick_11","type":5,"block":2,"hp":700},{"name":"TFT5_Lux","disname":"U2000954_TFT5_Lux_4","type":5,"block":2,"hp":600},{"name":"TFT5_Vladimir","disname":"U2000212_TFT5_Vladimir_4","type":5,"block":1,"hp":650},{"name":"TFT5_Lissandra","disname":"U2000434_TFT5_Lissandra_9","type":5,"block":1,"hp":550},{"name":"TFT5_Soraka","disname":"U2000519_TFT5_Soraka_3","type":5,"block":1,"hp":550},{"name":"TFT5_Soraka","disname":"U2000532_TFT5_Soraka_2","type":5,"block":1,"hp":550},{"name":"TFT5_Leona","disname":"U2000093_TFT5_Leona_10","type":5,"block":0,"hp":700},{"name":"TFT5_Gragas","disname":"U2000344_TFT5_Gragas_5","type":5,"block":0,"hp":750},{"name":"TFT5_Lissandra","disname":"U2000435_TFT5_Lissandra_9","type":5,"block":0,"hp":550},{"name":"TFT5_Lulu","disname":"U2000840_TFT5_Lulu_3","type":5,"block":0,"hp":650},{"name":"TFT5_Udyr","disname":"U2000160_TFT5_Udyr_11","type":5,"block":3,"hp":700},{"name":"TFT5_Kalista","disname":"U2000392_TFT5_Kalista_10","type":5,"block":3,"hp":500},{"name":"TFT5_Lissandra","disname":"U2000423_TFT5_Lissandra_9","type":5,"block":3,"hp":550},{"name":"TFT5_Nunu","disname":"U2000892_TFT5_Nunu_7","type":5,"block":3,"hp":900},{"name":"TFT5_Ziggs","disname":"U2000363_TFT5_Ziggs_13","type":5,"block":6,"hp":450},{"name":"TFT5_Brand","disname":"U2000499_TFT5_Brand_5","type":5,"block":6,"hp":600},{"name":"TFT5_Morgana","disname":"U2000783_TFT5_Morgana_7","type":5,"block":6,"hp":850},{"name":"TFT5_Katarina","disname":"U2000951_TFT5_Katarina_7","type":5,"block":6,"hp":700},{"name":"TFT5_Vladimir","disname":"U2000211_TFT5_Vladimir_1","type":5,"block":1,"hp":650},{"name":"TFT5_Yasuo","disname":"U2000772_TFT5_Yasuo_1","type":5,"block":0,"hp":800},{"name":"TFT5_Poppy","disname":"U2000273_TFT5_Poppy_1","type":5,"block":8,"hp":600},{"name":"TFT5_Poppy","disname":"U2000260_TFT5_Poppy_1","type":5,"block":3,"hp":600},{"name":"TFT5_Nautilus","disname":"U2000625_TFT5_Nautilus_1","type":5,"block":8,"hp":750}]}</t>
  </si>
  <si>
    <t>{"success":true,"code":200,"msg":"鎴愬姛","data":["TFT5_Pantheon","TFT5_Yasuo","TFT5_Brand","Sold","TFT5_Nidalee"]}</t>
  </si>
  <si>
    <t>{"success":true,"code":200,"msg":"鎴愬姛","data":[{"isme":true,"zt":5,"fit":0,"name":"TFTChampion","disname":"AlphaChess","type":3,"block":7,"hp":70},{"fit":0,"name":"TFTChampion","disname":"绔犻奔鍝ユ槸榄旀硶","type":3,"block":8,"hp":72},{"fit":0,"name":"TFTChampion","disname":"娲昏功涔辫烦灏忔竻鏂?,"type":3,"block":5,"hp":84},{"fit":1,"name":"TFTChampion","disname":"鎴戝氨鏄痑i浣?,"type":3,"block":2,"hp":72},{"fit":1,"name":"TFTChampion","disname":"鍟嗗簵鎵ｉ挶蹇樼粰瑁呭","type":3,"block":1,"hp":82},{"fit":3,"name":"TFTChampion","disname":"涓嶈兘鍏夎帿涓嶇敇濞?,"type":3,"block":0,"hp":80},{"fit":1,"name":"TFTChampion","disname":"缁欐偍鍚楄秴搴?,"type":3,"block":3,"hp":84},{"fit":1,"name":"TFTChampion","disname":"Ss鍙ゅ痉閲屽畨","type":3,"block":6,"hp":88},{"name":"TFT5_Vayne","disname":"U2000117_TFT5_Vayne_1","type":5,"block":5,"hp":500},{"name":"TFT5_Lissandra","disname":"U2000444_TFT5_Lissandra_4","type":5,"block":1,"hp":550},{"name":"TFT5_Nautilus","disname":"U2000610_TFT5_Nautilus_1","type":5,"block":5,"hp":750},{"name":"TFT5_Soraka","disname":"U2000535_TFT5_Soraka_1","type":5,"block":5,"hp":550},{"name":"TFT5_Thresh","disname":"U2000650_TFT5_Thresh_1","type":5,"block":5,"hp":800},{"name":"TFT5_Gragas","disname":"U2000356_TFT5_Gragas_1","type":5,"block":5,"hp":750},{"name":"TFT5_Lissandra","disname":"U2000445_TFT5_Lissandra_1","type":5,"block":5,"hp":550},{"name":"TFT5_Trundle","disname":"U2000690_TFT5_Trundle_1","type":5,"block":5,"hp":700},{"name":"TFT5_Viktor","disname":"U2000463_TFT5_Viktor_1","type":5,"block":8,"hp":500},{"name":"TFT5_Sejuani","disname":"U2000567_TFT5_Sejuani_1","type":5,"block":8,"hp":750},{"name":"TFT5_Sett","disname":"U2000709_TFT5_Sett_1","type":5,"block":8,"hp":750},{"name":"TFT5_LeeSin","disname":"U2000792_TFT5_LeeSin_2","type":5,"block":8,"hp":1000},{"name":"TFT5_Yasuo","disname":"U2000756_TFT5_Yasuo_2","type":5,"block":5,"hp":800},{"name":"TFT5_Nautilus","disname":"U2000620_TFT5_Nautilus_1","type":5,"block":3,"hp":750},{"name":"TFT5_Aatrox","disname":"U2000131_TFT5_Aatrox_2","type":5,"block":1,"hp":650},{"name":"TFT5_Khazix","disname":"U2000305_TFT5_Khazix_10","type":5,"block":1,"hp":500},{"name":"TFT5_Soraka","disname":"U2000524_TFT5_Soraka_1","type":5,"block":8,"hp":550},{"name":"TFT5_Sejuani","disname":"U2000561_TFT5_Sejuani_1","type":5,"block":1,"hp":750},{"name":"TFT5_Thresh","disname":"U2000662_TFT5_Thresh_1","type":5,"block":8,"hp":800},{"name":"TFT5_Riven","disname":"U2000811_TFT5_Riven_1","type":5,"block":1,"hp":850},{"name":"TFT5_Nidalee","disname":"U2000916_TFT5_Nidalee_1","type":5,"block":1,"hp":800},{"name":"TFT5_Riven","disname":"U2000815_TFT5_Riven_1","type":5,"block":3,"hp":850},{"name":"TFT5_Soraka","disname":"U2000532_TFT5_Soraka_2","type":5,"block":1,"hp":550},{"name":"TFT5_Vladimir","disname":"U2000211_TFT5_Vladimir_1","type":5,"block":1,"hp":650},{"name":"TFT5_Yasuo","disname":"U2000772_TFT5_Yasuo_1","type":5,"block":0,"hp":800},{"name":"TFT5_Poppy","disname":"U2000273_TFT5_Poppy_1","type":5,"block":8,"hp":600},{"name":"TFT5_Poppy","disname":"U2000260_TFT5_Poppy_1","type":5,"block":3,"hp":600},{"name":"TFT5_Nautilus","disname":"U2000625_TFT5_Nautilus_1","type":5,"block":8,"hp":750},{"name":"TFT5_Leona","disname":"U2000099_TFT5_Leona_7","type":5,"block":8,"hp":700},{"name":"TFT5_Gragas","disname":"U2000334_TFT5_Gragas_13","type":5,"block":8,"hp":750},{"name":"TFT5_Gragas","disname":"U2000350_TFT5_Gragas_12","type":5,"block":8,"hp":750},{"name":"TFT5_Kalista","disname":"U2000401_TFT5_Kalista_13","type":5,"block":8,"hp":500},{"name":"TFT5_Vayne","disname":"U2000102_TFT5_Vayne_15","type":5,"block":5,"hp":650},{"name":"TFT5_Warwick","disname":"U2000301_TFT5_Warwick_7","type":5,"block":5,"hp":1260},{"name":"TFT5_Sejuani","disname":"U2000572_TFT5_Sejuani_7","type":5,"block":5,"hp":750},{"name":"TFT5_Hecarim","disname":"U2000720_TFT5_Hecarim_7","type":5,"block":5,"hp":750},{"name":"TFT5_Warwick","disname":"U2000276_TFT5_Warwick_12","type":5,"block":2,"hp":700},{"name":"TFT5_Lux","disname":"U2000954_TFT5_Lux_5","type":5,"block":2,"hp":600},{"name":"TFT5_Vladimir","disname":"U2000212_TFT5_Vladimir_5","type":5,"block":1,"hp":650},{"name":"TFT5_Ziggs","disname":"U2000367_TFT5_Ziggs_4","type":5,"block":1,"hp":450},{"name":"TFT5_Lissandra","disname":"U2000434_TFT5_Lissandra_10","type":5,"block":1,"hp":550},{"name":"TFT5_Soraka","disname":"U2000519_TFT5_Soraka_4","type":5,"block":1,"hp":550},{"name":"TFT5_Leona","disname":"U2000093_TFT5_Leona_11","type":5,"block":0,"hp":700},{"name":"TFT5_Gragas","disname":"U2000344_TFT5_Gragas_6","type":5,"block":0,"hp":750},{"name":"TFT5_Lissandra","disname":"U2000435_TFT5_Lissandra_10","type":5,"block":0,"hp":550},{"name":"TFT5_Lulu","disname":"U2000840_TFT5_Lulu_4","type":5,"block":0,"hp":650},{"name":"TFT5_Udyr","disname":"U2000160_TFT5_Udyr_12","type":5,"block":3,"hp":700},{"name":"TFT5_Kalista","disname":"U2000392_TFT5_Kalista_11","type":5,"block":3,"hp":500},{"name":"TFT5_Lissandra","disname":"U2000423_TFT5_Lissandra_10","type":5,"block":3,"hp":550},{"name":"TFT5_Nunu","disname":"U2000892_TFT5_Nunu_8","type":5,"block":3,"hp":900},{"name":"TFT5_Ziggs","disname":"U2000363_TFT5_Ziggs_14","type":5,"block":6,"hp":450},{"name":"TFT5_Brand","disname":"U2000499_TFT5_Brand_6","type":5,"block":6,"hp":600},{"name":"TFT5_Morgana","disname":"U2000783_TFT5_Morgana_8","type":5,"block":6,"hp":850},{"name":"TFT5_Katarina","disname":"U2000951_TFT5_Katarina_8","type":5,"block":6,"hp":700},{"name":"TFT5_Kennen","disname":"U2000588_TFT5_Kennen_1","type":5,"block":8,"hp":600},{"name":"TFT5_Sejuani","disname":"U2000563_TFT5_Sejuani_1","type":5,"block":1,"hp":750},{"name":"TFT5_Kalista","disname":"U2000400_TFT5_Kalista_1","type":5,"block":7,"hp":500},{"name":"TFT5_Leona","disname":"U2000084_TFT5_Leona_1","type":5,"block":3,"hp":700}]}</t>
  </si>
  <si>
    <t>Sejuani</t>
  </si>
  <si>
    <t>Karma</t>
  </si>
  <si>
    <t>Nidalee</t>
  </si>
  <si>
    <t>Aatrox</t>
  </si>
  <si>
    <t>Aphelios</t>
  </si>
  <si>
    <t>Ashe</t>
  </si>
  <si>
    <t>Brand</t>
  </si>
  <si>
    <t>Diana</t>
  </si>
  <si>
    <t>Draven</t>
  </si>
  <si>
    <t>Garen</t>
  </si>
  <si>
    <t>Gragas</t>
  </si>
  <si>
    <t>Hecarim</t>
  </si>
  <si>
    <t>Heimerdinger</t>
  </si>
  <si>
    <t>Ivern</t>
  </si>
  <si>
    <t>Jax</t>
  </si>
  <si>
    <t>Kalista</t>
  </si>
  <si>
    <t>Kayle</t>
  </si>
  <si>
    <t>Kennen</t>
  </si>
  <si>
    <t>Khazix</t>
  </si>
  <si>
    <t>Kled</t>
  </si>
  <si>
    <t>LeeSin</t>
  </si>
  <si>
    <t>Leona</t>
  </si>
  <si>
    <t>Lulu</t>
  </si>
  <si>
    <t>Lux</t>
  </si>
  <si>
    <t>Nautilus</t>
  </si>
  <si>
    <t>Nocturne</t>
  </si>
  <si>
    <t>Nunu</t>
  </si>
  <si>
    <t>Poppy</t>
  </si>
  <si>
    <t>Rell</t>
  </si>
  <si>
    <t>Riven</t>
  </si>
  <si>
    <t>Sett</t>
  </si>
  <si>
    <t>Soraka</t>
  </si>
  <si>
    <t>Syndra</t>
  </si>
  <si>
    <t>Teemo</t>
  </si>
  <si>
    <t>Thresh</t>
  </si>
  <si>
    <t>Udyr</t>
  </si>
  <si>
    <t>Varus</t>
  </si>
  <si>
    <t>Vayne</t>
  </si>
  <si>
    <t>Velkoz</t>
  </si>
  <si>
    <t>Viego</t>
  </si>
  <si>
    <t>Vladimir</t>
  </si>
  <si>
    <t>Volibear</t>
  </si>
  <si>
    <t>Yasuo</t>
  </si>
  <si>
    <t>Ziggs</t>
  </si>
  <si>
    <t>Zyra</t>
  </si>
  <si>
    <r>
      <t>{"success":true,"code":200,"msg":"鎴愬姛","data":[{"fit":0,"name":"TFTChampion","disname":"绔犻奔鍝ユ槸榄旀硶","type":3,"block":8,"hp":100},{"fit":0,"name":"TFTChampion","disname":"娲昏功涔辫烦灏忔竻鏂?,"type":3,"block":5,"hp":98},{"fit":0,"name":"TFTChampion","disname":"鎴戝氨鏄痑i浣?,"type":3,"block":2,"hp":100},{"fit":0,"name":"TFTChampion","disname":"鍟嗗簵鎵ｉ挶蹇樼粰瑁呭","type":3,"block":1,"hp":100},{"fit":1,"name":"TFTChampion","disname":"涓嶈兘鍏夎帿涓嶇敇濞?,"type":3,"block":0,"hp":100},{"fit":0,"name":"TFTChampion","disname":"缁欐偍鍚楄秴搴?,"type":3,"block":3,"hp":100},{"fit":0,"name":"TFTChampion","disname":"Ss鍙ゅ痉閲屽畨","type":3,"block":6,"hp":98},</t>
    </r>
    <r>
      <rPr>
        <sz val="11"/>
        <rFont val="Calibri"/>
        <family val="2"/>
        <scheme val="minor"/>
      </rPr>
      <t>{</t>
    </r>
    <r>
      <rPr>
        <sz val="11"/>
        <color theme="1"/>
        <rFont val="Calibri"/>
        <family val="2"/>
        <scheme val="minor"/>
      </rPr>
      <t>"name":"TFT5_</t>
    </r>
    <r>
      <rPr>
        <sz val="11"/>
        <color rgb="FFFF0000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issandra</t>
    </r>
    <r>
      <rPr>
        <sz val="11"/>
        <color rgb="FFFF0000"/>
        <rFont val="Calibri"/>
        <family val="2"/>
        <scheme val="minor"/>
      </rPr>
      <t>"</t>
    </r>
    <r>
      <rPr>
        <sz val="11"/>
        <color theme="1"/>
        <rFont val="Calibri"/>
        <family val="2"/>
        <scheme val="minor"/>
      </rPr>
      <t>,"disname":"U2000423_TFT5_Lissandra_1","type":5,</t>
    </r>
    <r>
      <rPr>
        <sz val="11"/>
        <color rgb="FFFF0000"/>
        <rFont val="Calibri"/>
        <family val="2"/>
        <scheme val="minor"/>
      </rPr>
      <t>"b</t>
    </r>
    <r>
      <rPr>
        <sz val="11"/>
        <color theme="1"/>
        <rFont val="Calibri"/>
        <family val="2"/>
        <scheme val="minor"/>
      </rPr>
      <t>lock":</t>
    </r>
    <r>
      <rPr>
        <sz val="11"/>
        <color theme="5" tint="-0.249977111117893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,"hp":</t>
    </r>
    <r>
      <rPr>
        <sz val="11"/>
        <color theme="5" tint="-0.249977111117893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50</t>
    </r>
    <r>
      <rPr>
        <sz val="11"/>
        <color rgb="FFFF0000"/>
        <rFont val="Calibri"/>
        <family val="2"/>
        <scheme val="minor"/>
      </rPr>
      <t>}</t>
    </r>
    <r>
      <rPr>
        <sz val="11"/>
        <color theme="1"/>
        <rFont val="Calibri"/>
        <family val="2"/>
        <scheme val="minor"/>
      </rPr>
      <t>,{"name":"TFT5_</t>
    </r>
    <r>
      <rPr>
        <sz val="11"/>
        <color rgb="FFFF0000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issandra","disname":"U2000435_TFT5_Lissandra_1","type":5,"block":0,"hp":550},{"name":"TFT5_Gragas","disname":"U2000350_TFT5_Gragas_1","type":5,"block":8,"hp":750},{"name":"TFT5_Lissandra","disname":"U2000421_TFT5_Lissandra_4","type":5,"block":7,"hp":550},{"name":"TFT5_Gragas","disname":"U2000334_TFT5_Gragas_4","type":5,"block":8,"hp":750},{"name":"TFT5_Kalista","disname":"U2000401_TFT5_Kalista_2","type":5,"block":8,"hp":500},{"name":"TFT5_Vayne","disname":"U2000102_TFT5_Vayne_4","type":5,"block":5,"hp":650},{"name":"TFT5_Warwick","disname":"U2000276_TFT5_Warwick_4","type":5,"block":2,"hp":700},{"name":"TFT5_Khazix","disname":"U2000305_TFT5_Khazix_4","type":5,"block":1,"hp":500},{"name":"TFT5_Lissandra","disname":"U2000434_TFT5_Lissandra_2","type":5,"block":1,"hp":550},{"name":"TFT5_Leona","disname":"U2000093_TFT5_Leona_2","type":5,"block":0,"hp":700},{"name":"TFT5_Poppy","disname":"U2000247_TFT5_Poppy_4","type":5,"block":0,"hp":600},{"name":"TFT5_Udyr","disname":"U2000160_TFT5_Udyr_4","type":5,"block":3,"hp":700},{"name":"TFT5_Kalista","disname":"U2000392_TFT5_Kalista_2","type":5,"block":3,"hp":500},{"name":"TFT5_Ziggs","disname":"U2000363_TFT5_Ziggs_4","type":5,"block":6,"hp":450}]}</t>
    </r>
  </si>
  <si>
    <t>Senna</t>
  </si>
  <si>
    <t>Pyke</t>
  </si>
  <si>
    <t>Fiddlesticks</t>
  </si>
  <si>
    <t>Olaf</t>
  </si>
  <si>
    <t>Tristana</t>
  </si>
  <si>
    <t>Rakan</t>
  </si>
  <si>
    <t>MissFortune</t>
  </si>
  <si>
    <t>Gwen</t>
  </si>
  <si>
    <t>Galio</t>
  </si>
  <si>
    <t>Akshan</t>
  </si>
  <si>
    <t>Lucian</t>
  </si>
  <si>
    <t>Irelia</t>
  </si>
  <si>
    <t>ID</t>
  </si>
  <si>
    <t>Cost</t>
  </si>
  <si>
    <t>oid1</t>
  </si>
  <si>
    <t>oid2</t>
  </si>
  <si>
    <t>clid1</t>
  </si>
  <si>
    <t>clid2</t>
  </si>
  <si>
    <t>{"success":true,"code":200,"msg":"鎴愬姛","data":["TFT5_Olaf","TFT5_Kalista","TFT5_Senna","TFT5_Senna","TFT5_Kled"]}</t>
  </si>
  <si>
    <t>{"success":true,"code":200,"msg":"鎴愬姛","data":[{"isme":true,"zt":5,"fit":0,"name":"TFTChampion","disname":"AlphaChess","type":3,"block":7,"hp":100},{"fit":0,"name":"TFTChampion","disname":"涓縌Q鐏畤杞?,"type":3,"block":8,"hp":100},{"fit":0,"name":"TFTChampion","disname":"璁稿厛鐢熺殑鐬?,"type":3,"block":5,"hp":100},{"fit":0,"name":"TFTChampion","disname":"o鏄綘鍝ュ摜","type":3,"block":2,"hp":100},{"fit":0,"name":"TFTChampion","disname":"涓佸绔筴k","type":3,"block":1,"hp":100},{"fit":1,"name":"TFTChampion","disname":"鍔ㄦ劅瓒呬汉澶╀笅鏃犳晫","type":3,"block":0,"hp":100},{"fit":0,"name":"TFTChampion","disname":"EX鍜栧柋妫扻","type":3,"block":3,"hp":100},{"fit":0,"name":"TFTChampion","disname":"绁瀥j","type":3,"block":6,"hp":100},{"name":"TFT5_Yasuo","disname":"U2000917_TFT5_Yasuo_1","type":5,"block":3,"hp":800},{"name":"TFT5_Aatrox","disname":"U2000073_TFT5_Aatrox_3","type":5,"block":7,"hp":800},{"name":"TFT5_Kalista","disname":"U2000421_TFT5_Kalista_3","type":5,"block":8,"hp":500},{"name":"TFT5_Olaf","disname":"U2000392_TFT5_Olaf_3","type":5,"block":5,"hp":650},{"name":"TFT5_Vayne","disname":"U2000102_TFT5_Vayne_3","type":5,"block":0,"hp":500},{"name":"TFT5_Senna","disname":"U2000363_TFT5_Senna_3","type":5,"block":3,"hp":900},{"name":"TFT5_Udyr","disname":"U2000170_TFT5_Udyr_1","type":5,"block":1,"hp":700},{"name":"TFT5_Vladimir","disname":"U2000193_TFT5_Vladimir_1","type":5,"block":1,"hp":650},{"name":"TFT5_Kled","disname":"U2000274_TFT5_Kled_1","type":5,"block":1,"hp":400},{"name":"TFT5_Olaf","disname":"U2000404_TFT5_Olaf_1","type":5,"block":5,"hp":650},{"name":"TFT5_Udyr","disname":"U2000171_TFT5_Udyr_1","type":5,"block":5,"hp":700},{"name":"TFT5_Leona","disname":"U2000144_TFT5_Leona_1","type":5,"block":7,"hp":700},{"name":"TFT5_Udyr","disname":"U2000161_TFT5_Udyr_1","type":5,"block":1,"hp":700},{"name":"TFT5_Ziggs","disname":"U2000352_TFT5_Ziggs_1","type":5,"block":0,"hp":450},{"name":"TFT5_Aatrox","disname":"U2000086_TFT5_Aatrox_1","type":5,"block":2,"hp":650},{"name":"TFT5_Poppy","disname":"U2000303_TFT5_Poppy_1","type":5,"block":0,"hp":600},{"name":"TFT5_Poppy","disname":"U2000279_TFT5_Poppy_1","type":5,"block":0,"hp":600},{"name":"TFT5_Khazix","disname":"U2000241_TFT5_Khazix_1","type":5,"block":2,"hp":500},{"name":"TFT5_Olaf","disname":"U2000408_TFT5_Olaf_1","type":5,"block":7,"hp":650},{"name":"TFT5_Khazix","disname":"U2000223_TFT5_Khazix_1","type":5,"block":2,"hp":500},{"name":"TFT5_Olaf","disname":"U2000418_TFT5_Olaf_1","type":5,"block":8,"hp":650}]}</t>
  </si>
  <si>
    <t>{"success":true,"code":200,"msg":"鎴愬姛","data":["TFT5_Syndra","TFT5_Khazix","TFT5_Yasuo","TFT5_Kled","TFT5_Leona"]}</t>
  </si>
  <si>
    <t>{"success":true,"code":200,"msg":"鎴愬姛","data":[{"isme":true,"zt":5,"fit":0,"name":"TFTChampion","disname":"AlphaChess","type":3,"block":7,"hp":80},{"fit":0,"name":"TFTChampion","disname":"涓縌Q鐏畤杞?,"type":3,"block":8,"hp":98},{"fit":1,"name":"TFTChampion","disname":"璁稿厛鐢熺殑鐬?,"type":3,"block":5,"hp":100},{"fit":0,"name":"TFTChampion","disname":"o鏄綘鍝ュ摜","type":3,"block":2,"hp":86},{"fit":1,"name":"TFTChampion","disname":"涓佸绔筴k","type":3,"block":1,"hp":76},{"fit":4,"name":"TFTChampion","disname":"鍔ㄦ劅瓒呬汉澶╀笅鏃犳晫","type":3,"block":0,"hp":90},{"fit":0,"name":"TFTChampion","disname":"EX鍜栧柋妫扻","type":3,"block":3,"hp":90},{"fit":1,"name":"TFTChampion","disname":"绁瀥j","type":3,"block":6,"hp":76},{"name":"TFT5_Poppy","disname":"U2000303_TFT5_Poppy_1","type":5,"block":0,"hp":600},{"name":"TFT5_Irelia","disname":"U2000711_TFT5_Irelia_1","type":5,"block":5,"hp":750},{"name":"TFT5_Vayne","disname":"U2000102_TFT5_Vayne_4","type":5,"block":0,"hp":500},{"name":"TFT5_Kled","disname":"U2000249_TFT5_Kled_1","type":5,"block":0,"hp":400},{"name":"TFT5_Udyr","disname":"U2000160_TFT5_Udyr_1","type":5,"block":5,"hp":1260},{"name":"TFT5_Thresh","disname":"U2000652_TFT5_Thresh_1","type":5,"block":2,"hp":800},{"name":"TFT5_Olaf","disname":"U2000400_TFT5_Olaf_1","type":5,"block":8,"hp":650},{"name":"TFT5_Olaf","disname":"U2000413_TFT5_Olaf_1","type":5,"block":7,"hp":650},{"name":"TFT5_Pyke","disname":"U2000561_TFT5_Pyke_1","type":5,"block":5,"hp":650},{"name":"TFT5_Senna","disname":"U2000367_TFT5_Senna_1","type":5,"block":7,"hp":500},{"name":"TFT5_Vayne","disname":"U2000110_TFT5_Vayne_1","type":5,"block":7,"hp":500},{"name":"TFT5_Olaf","disname":"U2000408_TFT5_Olaf_5","type":5,"block":7,"hp":650},{"name":"TFT5_Kennen","disname":"U2000624_TFT5_Kennen_4","type":5,"block":2,"hp":600},{"name":"TFT5_Sett","disname":"U2000671_TFT5_Sett_1","type":5,"block":5,"hp":750},{"name":"TFT5_Aatrox","disname":"U2000086_TFT5_Aatrox_8","type":5,"block":2,"hp":650},{"name":"TFT5_Kalista","disname":"U2000442_TFT5_Kalista_7","type":5,"block":2,"hp":900},{"name":"TFT5_Soraka","disname":"U2000482_TFT5_Soraka_3","type":5,"block":2,"hp":550},{"name":"TFT5_Nunu","disname":"U2000868_TFT5_Nunu_3","type":5,"block":0,"hp":900},{"name":"TFT5_Khazix","disname":"U2000235_TFT5_Khazix_1","type":5,"block":2,"hp":500},{"name":"TFT5_Velkoz","disname":"U2001011_TFT5_Velkoz_1","type":5,"block":6,"hp":700},{"name":"TFT5_Udyr","disname":"U2000187_TFT5_Udyr_1","type":5,"block":8,"hp":700},{"name":"TFT5_Olaf","disname":"U2000412_TFT5_Olaf_1","type":5,"block":6,"hp":650},{"name":"TFT5_Olaf","disname":"U2000414_TFT5_Olaf_1","type":5,"block":5,"hp":650},{"name":"TFT5_Leona","disname":"U2000144_TFT5_Leona_8","type":5,"block":7,"hp":700},{"name":"TFT5_Senna","disname":"U2000376_TFT5_Senna_5","type":5,"block":7,"hp":900},{"name":"TFT5_Nautilus","disname":"U2000640_TFT5_Nautilus_3","type":5,"block":7,"hp":750},{"name":"TFT5_Tristana","disname":"U2000732_TFT5_Tristana_3","type":5,"block":7,"hp":550},{"name":"TFT5_Udyr","disname":"U2000166_TFT5_Udyr_9","type":5,"block":8,"hp":1260},{"name":"TFT5_Senna","disname":"U2000389_TFT5_Senna_4","type":5,"block":8,"hp":500},{"name":"TFT5_Olaf","disname":"U2000418_TFT5_Olaf_10","type":5,"block":8,"hp":650},{"name":"TFT5_Irelia","disname":"U2000714_TFT5_Irelia_9","type":5,"block":8,"hp":750},{"name":"TFT5_Riven","disname":"U2000753_TFT5_Riven_7","type":5,"block":8,"hp":850},{"name":"TFT5_Senna","disname":"U2000371_TFT5_Senna_10","type":5,"block":5,"hp":500},{"name":"TFT5_Olaf","disname":"U2000392_TFT5_Olaf_13","type":5,"block":5,"hp":1170},{"name":"TFT5_Pyke","disname":"U2000568_TFT5_Pyke_10","type":5,"block":5,"hp":650},{"name":"TFT5_Rakan","disname":"U2000818_TFT5_Rakan_5","type":5,"block":5,"hp":800},{"name":"TFT5_Udyr","disname":"U2000162_TFT5_Udyr_2","type":5,"block":2,"hp":700},{"name":"TFT5_Khazix","disname":"U2000241_TFT5_Khazix_4","type":5,"block":2,"hp":900},{"name":"TFT5_Irelia","disname":"U2000705_TFT5_Irelia_2","type":5,"block":2,"hp":750},{"name":"TFT5_Nidalee","disname":"U2000882_TFT5_Nidalee_3","type":5,"block":2,"hp":800},{"name":"TFT5_Udyr","disname":"U2000170_TFT5_Udyr_7","type":5,"block":1,"hp":1260},{"name":"TFT5_Sett","disname":"U2000677_TFT5_Sett_2","type":5,"block":1,"hp":750},{"name":"TFT5_Ashe","disname":"U2000836_TFT5_Ashe_6","type":5,"block":1,"hp":550},{"name":"TFT5_Zyra","disname":"U2000850_TFT5_Zyra_6","type":5,"block":1,"hp":600},{"name":"TFT5_Kled","disname":"U2000251_TFT5_Kled_8","type":5,"block":0,"hp":400},{"name":"TFT5_Poppy","disname":"U2000279_TFT5_Poppy_9","type":5,"block":0,"hp":600},{"name":"TFT5_Ziggs","disname":"U2000338_TFT5_Ziggs_8","type":5,"block":0,"hp":810},{"name":"TFT5_Kennen","disname":"U2000623_TFT5_Kennen_5","type":5,"block":0,"hp":600},{"name":"TFT5_Tristana","disname":"U2000716_TFT5_Tristana_5","type":5,"block":0,"hp":990},{"name":"TFT5_Kled","disname":"U2000252_TFT5_Kled_4","type":5,"block":3,"hp":720},{"name":"TFT5_Senna","disname":"U2000363_TFT5_Senna_10","type":5,"block":3,"hp":900},{"name":"TFT5_Olaf","disname":"U2000396_TFT5_Olaf_2","type":5,"block":3,"hp":650},{"name":"TFT5_Pyke","disname":"U2000580_TFT5_Pyke_2","type":5,"block":3,"hp":650},{"name":"TFT5_Senna","disname":"U2000373_TFT5_Senna_5","type":5,"block":6,"hp":500},{"name":"TFT5_Olaf","disname":"U2000409_TFT5_Olaf_5","type":5,"block":6,"hp":650},{"name":"TFT5_Pyke","disname":"U2000565_TFT5_Pyke_9","type":5,"block":6,"hp":650},{"name":"TFT5_Kennen","disname":"U2000621_TFT5_Kennen_9","type":5,"block":6,"hp":600},{"name":"TFT5_DraconicEgg","disname":"U2001337_TFT5_DraconicEgg_1","type":5,"block":1,"hp":1},{"name":"TFT5_Sett","disname":"U2000692_TFT5_Sett_1","type":5,"block":5,"hp":750},{"name":"TFT5_Tristana","disname":"U2000721_TFT5_Tristana_1","type":5,"block":6,"hp":550},{"name":"TFT5_Tristana","disname":"U2000735_TFT5_Tristana_1","type":5,"block":3,"hp":550},{"name":"TFT5_Udyr","disname":"U2000178_TFT5_Udyr_2","type":5,"block":1,"hp":700},{"name":"TFT5_Sett","disname":"U2000672_TFT5_Sett_2","type":5,"block":1,"hp":750},{"name":"TFT5_Udyr","disname":"U2000164_TFT5_Udyr_1","type":5,"block":1,"hp":700},{"name":"TFT5_Ashe","disname":"U2000831_TFT5_Ashe_1","type":5,"block":2,"hp":550},{"name":"TFT5_MissFortune","disname":"U2000932_TFT5_MissFortune_1","type":5,"block":0,"hp":700}]}</t>
  </si>
  <si>
    <t>{"success":true,"code":200,"msg":"鎴愬姛","data":["TFT5_Kalista","TFT5_Vladimir","Sold","TFT5_Brand","TFT5_Kalista"]}</t>
  </si>
  <si>
    <t>{"success":true,"code":200,"msg":"鎴愬姛","data":[{"isme":true,"zt":5,"fit":0,"name":"TFTChampion","disname":"AlphaChess","type":3,"block":7,"hp":58},{"fit":1,"name":"TFTChampion","disname":"涓縌Q鐏畤杞?,"type":3,"block":8,"hp":82},{"fit":1,"name":"TFTChampion","disname":"璁稿厛鐢熺殑鐬?,"type":3,"block":5,"hp":82},{"fit":1,"name":"TFTChampion","disname":"o鏄綘鍝ュ摜","type":3,"block":2,"hp":74},{"fit":2,"name":"TFTChampion","disname":"涓佸绔筴k","type":3,"block":1,"hp":54},{"fit":4,"name":"TFTChampion","disname":"鍔ㄦ劅瓒呬汉澶╀笅鏃犳晫","type":3,"block":0,"hp":90},{"fit":1,"name":"TFTChampion","disname":"EX鍜栧柋妫扻","type":3,"block":3,"hp":90},{"fit":1,"name":"TFTChampion","disname":"绁瀥j","type":3,"block":6,"hp":0},{"name":"TFT5_Poppy","disname":"U2000303_TFT5_Poppy_1","type":5,"block":0,"hp":600},{"name":"TFT5_Kled","disname":"U2000249_TFT5_Kled_1","type":5,"block":0,"hp":400},{"name":"TFT5_Olaf","disname":"U2000413_TFT5_Olaf_1","type":5,"block":7,"hp":650},{"name":"TFT5_Pyke","disname":"U2000561_TFT5_Pyke_1","type":5,"block":5,"hp":650},{"name":"TFT5_Olaf","disname":"U2000408_TFT5_Olaf_5","type":5,"block":7,"hp":650},{"name":"TFT5_Sett","disname":"U2000671_TFT5_Sett_1","type":5,"block":5,"hp":750},{"name":"TFT5_Khazix","disname":"U2000235_TFT5_Khazix_1","type":5,"block":2,"hp":500},{"name":"TFT5_Udyr","disname":"U2000187_TFT5_Udyr_1","type":5,"block":8,"hp":700},{"name":"TFT5_Olaf","disname":"U2000414_TFT5_Olaf_1","type":5,"block":5,"hp":650},{"name":"TFT5_Kennen","disname":"U2000623_TFT5_Kennen_5","type":5,"block":0,"hp":600},{"name":"TFT5_Sett","disname":"U2000692_TFT5_Sett_1","type":5,"block":5,"hp":750},{"name":"TFT5_Ashe","disname":"U2000831_TFT5_Ashe_1","type":5,"block":2,"hp":550},{"name":"TFT5_Tristana","disname":"U2000733_TFT5_Tristana_1","type":5,"block":0,"hp":550},{"name":"TFT5_Olaf","disname":"U2000403_TFT5_Olaf_1","type":5,"block":2,"hp":650},{"name":"TFT5_Senna","disname":"U2000377_TFT5_Senna_1","type":5,"block":8,"hp":500},{"name":"TFT5_Kennen","disname":"U2000618_TFT5_Kennen_1","type":5,"block":0,"hp":600},{"name":"TFT5_Kennen","disname":"U2000624_TFT5_Kennen_6","type":5,"block":2,"hp":600},{"name":"TFT5_Irelia","disname":"U2000705_TFT5_Irelia_4","type":5,"block":2,"hp":750},{"name":"TFT5_Nautilus","disname":"U2000627_TFT5_Nautilus_1","type":5,"block":2,"hp":750},{"name":"TFT5_Irelia","disname":"U2000695_TFT5_Irelia_1","type":5,"block":3,"hp":750},{"name":"TFT5_Pyke","disname":"U2000562_TFT5_Pyke_1","type":5,"block":8,"hp":650},{"name":"TFT5_Senna","disname":"U2000382_TFT5_Senna_1","type":5,"block":7,"hp":900},{"name":"TFT5_Pyke","disname":"U2000567_TFT5_Pyke_1","type":5,"block":7,"hp":650},{"name":"TFT5_Pyke","disname":"U2000568_TFT5_Pyke_14","type":5,"block":5,"hp":650},{"name":"TFT5_LeeSin","disname":"U2000756_TFT5_LeeSin_2","type":5,"block":2,"hp":850},{"name":"TFT5_Olaf","disname":"U2000401_TFT5_Olaf_1","type":5,"block":3,"hp":650},{"name":"TFT5_Jax","disname":"U2000965_TFT5_Jax_1","type":5,"block":0,"hp":1000},{"name":"TFT5_Irelia","disname":"U2000710_TFT5_Irelia_1","type":5,"block":8,"hp":750},{"name":"TFT5_Khazix","disname":"U2000244_TFT5_Khazix_1","type":5,"block":2,"hp":500},{"name":"TFT5_Nautilus","disname":"U2000646_TFT5_Nautilus_1","type":5,"block":0,"hp":750},{"name":"TFT5_Hecarim","disname":"U2000555_TFT5_Hecarim_1","type":5,"block":7,"hp":750},{"name":"TFT5_Kennen","disname":"U2000613_TFT5_Kennen_1","type":5,"block":8,"hp":600},{"name":"TFT5_Sett","disname":"U2000689_TFT5_Sett_1","type":5,"block":1,"hp":750},{"name":"TFT5_Senna","disname":"U2000376_TFT5_Senna_12","type":5,"block":7,"hp":900},{"name":"TFT5_Hecarim","disname":"U2000549_TFT5_Hecarim_4","type":5,"block":7,"hp":2350},{"name":"TFT5_Nautilus","disname":"U2000640_TFT5_Nautilus_10","type":5,"block":7,"hp":1350},{"name":"TFT5_Tristana","disname":"U2000732_TFT5_Tristana_10","type":5,"block":7,"hp":990},{"name":"TFT5_Udyr","disname":"U2000166_TFT5_Udyr_15","type":5,"block":8,"hp":1260},{"name":"TFT5_Senna","disname":"U2000389_TFT5_Senna_10","type":5,"block":8,"hp":500},{"name":"TFT5_Olaf","disname":"U2000418_TFT5_Olaf_16","type":5,"block":8,"hp":1170},{"name":"TFT5_Irelia","disname":"U2000714_TFT5_Irelia_15","type":5,"block":8,"hp":750},{"name":"TFT5_Riven","disname":"U2000753_TFT5_Riven_13","type":5,"block":8,"hp":850},{"name":"TFT5_Udyr","disname":"U2000160_TFT5_Udyr_4","type":5,"block":5,"hp":1260},{"name":"TFT5_Senna","disname":"U2000371_TFT5_Senna_17","type":5,"block":5,"hp":650},{"name":"TFT5_Olaf","disname":"U2000392_TFT5_Olaf_20","type":5,"block":5,"hp":1170},{"name":"TFT5_Irelia","disname":"U2000711_TFT5_Irelia_4","type":5,"block":5,"hp":750},{"name":"TFT5_Rakan","disname":"U2000818_TFT5_Rakan_12","type":5,"block":5,"hp":1440},{"name":"TFT5_Ashe","disname":"U2000835_TFT5_Ashe_2","type":5,"block":5,"hp":550},{"name":"TFT5_Khazix","disname":"U2000241_TFT5_Khazix_10","type":5,"block":2,"hp":900},{"name":"TFT5_Gragas","disname":"U2000309_TFT5_Gragas_5","type":5,"block":2,"hp":750},{"name":"TFT5_Soraka","disname":"U2000482_TFT5_Soraka_8","type":5,"block":2,"hp":550},{"name":"TFT5_Rakan","disname":"U2000810_TFT5_Rakan_4","type":5,"block":2,"hp":800},{"name":"TFT5_Nidalee","disname":"U2000882_TFT5_Nidalee_9","type":5,"block":2,"hp":800},{"name":"TFT5_Udyr","disname":"U2000167_TFT5_Udyr_6","type":5,"block":1,"hp":700},{"name":"TFT5_Udyr","disname":"U2000170_TFT5_Udyr_15","type":5,"block":1,"hp":1260},{"name":"TFT5_Udyr","disname":"U2000178_TFT5_Udyr_8","type":5,"block":1,"hp":1260},{"name":"TFT5_Sett","disname":"U2000677_TFT5_Sett_10","type":5,"block":1,"hp":1350},{"name":"TFT5_Ashe","disname":"U2000836_TFT5_Ashe_14","type":5,"block":1,"hp":550},{"name":"TFT5_Zyra","disname":"U2000850_TFT5_Zyra_14","type":5,"block":1,"hp":1080},{"name":"TFT5_Kled","disname":"U2000251_TFT5_Kled_15","type":5,"block":0,"hp":400},{"name":"TFT5_Poppy","disname":"U2000279_TFT5_Poppy_16","type":5,"block":0,"hp":600},{"name":"TFT5_Ziggs","disname":"U2000338_TFT5_Ziggs_15","type":5,"block":0,"hp":810},{"name":"TFT5_Nautilus","disname":"U2000628_TFT5_Nautilus_5","type":5,"block":0,"hp":750},{"name":"TFT5_Tristana","disname":"U2000716_TFT5_Tristana_12","type":5,"block":0,"hp":990},{"name":"TFT5_MissFortune","disname":"U2000932_TFT5_MissFortune_8","type":5,"block":0,"hp":700},{"name":"TFT5_Kled","disname":"U2000252_TFT5_Kled_11","type":5,"block":3,"hp":870},{"name":"TFT5_Senna","disname":"U2000363_TFT5_Senna_17","type":5,"block":3,"hp":900},{"name":"TFT5_Olaf","disname":"U2000396_TFT5_Olaf_9","type":5,"block":3,"hp":650},{"name":"TFT5_Pyke","disname":"U2000580_TFT5_Pyke_9","type":5,"block":3,"hp":1170},{"name":"TFT5_Tristana","disname":"U2000735_TFT5_Tristana_8","type":5,"block":3,"hp":550},{"name":"TFT5_Rakan","disname":"U2000823_TFT5_Rakan_3","type":5,"block":8,"hp":800},{"name":"TFT5_Galio","disname":"U2001027_TFT5_Galio_2","type":5,"block":1,"hp":1000},{"name":"TFT5_Thresh","disname":"U2000665_TFT5_Thresh_2","type":5,"block":0,"hp":800},{"name":"TFT5_DraconicEgg","disname":"U2001432_TFT5_DraconicEgg_1","type":5,"block":1,"hp":2},{"name":"TFT5_Poppy","disname":"U2000282_TFT5_Poppy_1","type":5,"block":7,"hp":600},{"name":"TFT5_Udyr","disname":"U2000168_TFT5_Udyr_1","type":5,"block":1,"hp":700},{"name":"TFT5_Olaf","disname":"U2000409_TFT5_Olaf_11","type":5,"block":8,"hp":650},{"name":"TFT5_Ziggs","disname":"U2000360_TFT5_Ziggs_1","type":5,"block":0,"hp":450},{"name":"TFT5_Rakan","disname":"U2000817_TFT5_Rakan_1","type":5,"block":3,"hp":800},{"name":"TFT5_Ashe","disname":"U2000845_TFT5_Ashe_1","type":5,"block":1,"hp":550},{"name":"TFT5_Zyra","disname":"U2000848_TFT5_Zyra_1","type":5,"block":1,"hp":600},{"name":"TFT5_MissFortune","disname":"U2000921_TFT5_MissFortune_1","type":5,"block":1,"hp":700},{"name":"TFT5_Rell","disname":"U2000991_TFT5_Rell_3","type":5,"block":2,"hp":950}]}</t>
  </si>
  <si>
    <t>{"success":true,"code":200,"msg":"鎴愬姛","data":["TFT5_Gragas","TFT5_Varus","TFT5_MissFortune","TFT5_Varus","TFT5_Vladimir"]}</t>
  </si>
  <si>
    <t>{"success":true,"code":200,"msg":"鎴愬姛","data":[{"isme":true,"zt":5,"fit":0,"name":"TFTChampion","disname":"AlphaChess","type":3,"block":7,"hp":58},{"fit":1,"name":"TFTChampion","disname":"涓縌Q鐏畤杞?,"type":3,"block":8,"hp":70},{"fit":1,"name":"TFTChampion","disname":"璁稿厛鐢熺殑鐬?,"type":3,"block":5,"hp":82},{"fit":2,"name":"TFTChampion","disname":"o鏄綘鍝ュ摜","type":3,"block":2,"hp":54},{"fit":2,"name":"TFTChampion","disname":"涓佸绔筴k","type":3,"block":1,"hp":42},{"fit":4,"name":"TFTChampion","disname":"鍔ㄦ劅瓒呬汉澶╀笅鏃犳晫","type":3,"block":0,"hp":72},{"fit":1,"name":"TFTChampion","disname":"EX鍜栧柋妫扻","type":3,"block":3,"hp":90},{"fit":1,"name":"TFTChampion","disname":"绁瀥j","type":3,"block":6,"hp":0},{"name":"TFT5_Poppy","disname":"U2000303_TFT5_Poppy_1","type":5,"block":0,"hp":600},{"name":"TFT5_Kled","disname":"U2000249_TFT5_Kled_1","type":5,"block":0,"hp":400},{"name":"TFT5_Khazix","disname":"U2000235_TFT5_Khazix_1","type":5,"block":2,"hp":900},{"name":"TFT5_Olaf","disname":"U2000414_TFT5_Olaf_1","type":5,"block":5,"hp":650},{"name":"TFT5_Sett","disname":"U2000692_TFT5_Sett_1","type":5,"block":5,"hp":750},{"name":"TFT5_Ashe","disname":"U2000831_TFT5_Ashe_1","type":5,"block":2,"hp":550},{"name":"TFT5_Tristana","disname":"U2000733_TFT5_Tristana_1","type":5,"block":0,"hp":550},{"name":"TFT5_Olaf","disname":"U2000403_TFT5_Olaf_1","type":5,"block":2,"hp":650},{"name":"TFT5_Senna","disname":"U2000377_TFT5_Senna_1","type":5,"block":8,"hp":500},{"name":"TFT5_Kennen","disname":"U2000618_TFT5_Kennen_1","type":5,"block":0,"hp":600},{"name":"TFT5_Nautilus","disname":"U2000627_TFT5_Nautilus_1","type":5,"block":2,"hp":750},{"name":"TFT5_Senna","disname":"U2000382_TFT5_Senna_1","type":5,"block":7,"hp":900},{"name":"TFT5_Olaf","disname":"U2000401_TFT5_Olaf_1","type":5,"block":3,"hp":650},{"name":"TFT5_Jax","disname":"U2000965_TFT5_Jax_1","type":5,"block":0,"hp":1000},{"name":"TFT5_Irelia","disname":"U2000710_TFT5_Irelia_1","type":5,"block":8,"hp":750},{"name":"TFT5_Nautilus","disname":"U2000646_TFT5_Nautilus_1","type":5,"block":0,"hp":750},{"name":"TFT5_Hecarim","disname":"U2000555_TFT5_Hecarim_1","type":5,"block":7,"hp":750},{"name":"TFT5_Sett","disname":"U2000689_TFT5_Sett_1","type":5,"block":1,"hp":750},{"name":"TFT5_Udyr","disname":"U2000167_TFT5_Udyr_6","type":5,"block":1,"hp":700},{"name":"TFT5_Thresh","disname":"U2000665_TFT5_Thresh_2","type":5,"block":0,"hp":800},{"name":"TFT5_Udyr","disname":"U2000168_TFT5_Udyr_1","type":5,"block":1,"hp":700},{"name":"TFT5_Olaf","disname":"U2000409_TFT5_Olaf_11","type":5,"block":8,"hp":650},{"name":"TFT5_Ziggs","disname":"U2000360_TFT5_Ziggs_1","type":5,"block":0,"hp":450},{"name":"TFT5_Rakan","disname":"U2000817_TFT5_Rakan_1","type":5,"block":3,"hp":800},{"name":"TFT5_Zyra","disname":"U2000848_TFT5_Zyra_1","type":5,"block":1,"hp":1080},{"name":"TFT5_Galio","disname":"U2001032_TFT5_Galio_1","type":5,"block":8,"hp":1000},{"name":"TFT5_Rakan","disname":"U2000823_TFT5_Rakan_4","type":5,"block":8,"hp":800},{"name":"TFT5_Rakan","disname":"U2000818_TFT5_Rakan_14","type":5,"block":5,"hp":1440},{"name":"TFT5_Rakan","disname":"U2000810_TFT5_Rakan_5","type":5,"block":2,"hp":800},{"name":"TFT5_Udyr","disname":"U2000178_TFT5_Udyr_10","type":5,"block":1,"hp":1260},{"name":"TFT5_DraconicEgg","disname":"U2001468_TFT5_DraconicEgg_1","type":5,"block":1,"hp":2},{"name":"TFT5_Hecarim","disname":"U2000540_TFT5_Hecarim_1","type":5,"block":7,"hp":750},{"name":"TFT5_Nidalee","disname":"U2000895_TFT5_Nidalee_1","type":5,"block":2,"hp":800},{"name":"TFT5_Rakan","disname":"U2000816_TFT5_Rakan_2","type":5,"block":8,"hp":800},{"name":"TFT5_Ziggs","disname":"U2000336_TFT5_Ziggs_1","type":5,"block":0,"hp":450},{"name":"TFT5_Irelia","disname":"U2000703_TFT5_Irelia_1","type":5,"block":3,"hp":750},{"name":"TFT5_Tristana","disname":"U2000722_TFT5_Tristana_1","type":5,"block":3,"hp":550},{"name":"TFT5_Pyke","disname":"U2000576_TFT5_Pyke_1","type":5,"block":3,"hp":650},{"name":"TFT5_Pyke","disname":"U2000582_TFT5_Pyke_1","type":5,"block":8,"hp":1170},{"name":"TFT5_Sett","disname":"U2000676_TFT5_Sett_1","type":5,"block":1,"hp":750},{"name":"TFT5_Rakan","disname":"U2000814_TFT5_Rakan_1","type":5,"block":3,"hp":800},{"name":"TFT5_Pyke","disname":"U2000581_TFT5_Pyke_4","type":5,"block":3,"hp":650},{"name":"TFT5_Poppy","disname":"U2000282_TFT5_Poppy_3","type":5,"block":7,"hp":600},{"name":"TFT5_Senna","disname":"U2000376_TFT5_Senna_14","type":5,"block":7,"hp":900},{"name":"TFT5_Hecarim","disname":"U2000549_TFT5_Hecarim_6","type":5,"block":7,"hp":2350},{"name":"TFT5_Nautilus","disname":"U2000640_TFT5_Nautilus_12","type":5,"block":7,"hp":1350},{"name":"TFT5_Tristana","disname":"U2000732_TFT5_Tristana_12","type":5,"block":7,"hp":990},{"name":"TFT5_Udyr","disname":"U2000166_TFT5_Udyr_18","type":5,"block":8,"hp":1260},{"name":"TFT5_Senna","disname":"U2000389_TFT5_Senna_13","type":5,"block":8,"hp":500},{"name":"TFT5_Olaf","disname":"U2000418_TFT5_Olaf_19","type":5,"block":8,"hp":1170},{"name":"TFT5_Irelia","disname":"U2000714_TFT5_Irelia_18","type":5,"block":8,"hp":750},{"name":"TFT5_Tristana","disname":"U2000723_TFT5_Tristana_3","type":5,"block":8,"hp":550},{"name":"TFT5_Riven","disname":"U2000753_TFT5_Riven_16","type":5,"block":8,"hp":850},{"name":"TFT5_Udyr","disname":"U2000160_TFT5_Udyr_7","type":5,"block":5,"hp":1260},{"name":"TFT5_Olaf","disname":"U2000392_TFT5_Olaf_23","type":5,"block":5,"hp":1170},{"name":"TFT5_Sett","disname":"U2000671_TFT5_Sett_2","type":5,"block":5,"hp":750},{"name":"TFT5_Ashe","disname":"U2000835_TFT5_Ashe_5","type":5,"block":5,"hp":550},{"name":"TFT5_Zyra","disname":"U2000851_TFT5_Zyra_2","type":5,"block":5,"hp":750},{"name":"TFT5_Galio","disname":"U2001035_TFT5_Galio_2","type":5,"block":5,"hp":1000},{"name":"TFT5_Khazix","disname":"U2000241_TFT5_Khazix_13","type":5,"block":2,"hp":900},{"name":"TFT5_Gragas","disname":"U2000309_TFT5_Gragas_8","type":5,"block":2,"hp":750},{"name":"TFT5_Soraka","disname":"U2000482_TFT5_Soraka_11","type":5,"block":2,"hp":550},{"name":"TFT5_Irelia","disname":"U2000705_TFT5_Irelia_6","type":5,"block":2,"hp":750},{"name":"TFT5_LeeSin","disname":"U2000756_TFT5_LeeSin_4","type":5,"block":2,"hp":850},{"name":"TFT5_Nidalee","disname":"U2000882_TFT5_Nidalee_12","type":5,"block":2,"hp":800},{"name":"TFT5_Udyr","disname":"U2000170_TFT5_Udyr_18","type":5,"block":1,"hp":1260},{"name":"TFT5_Sett","disname":"U2000677_TFT5_Sett_13","type":5,"block":1,"hp":1350},{"name":"TFT5_Ashe","disname":"U2000845_TFT5_Ashe_2","type":5,"block":1,"hp":990},{"name":"TFT5_Zyra","disname":"U2000850_TFT5_Zyra_17","type":5,"block":1,"hp":1080},{"name":"TFT5_MissFortune","disname":"U2000921_TFT5_MissFortune_4","type":5,"block":1,"hp":700},{"name":"TFT5_Galio","disname":"U2001027_TFT5_Galio_5","type":5,"block":1,"hp":2800},{"name":"TFT5_Kled","disname":"U2000251_TFT5_Kled_18","type":5,"block":0,"hp":400},{"name":"TFT5_Poppy","disname":"U2000279_TFT5_Poppy_19","type":5,"block":0,"hp":600},{"name":"TFT5_Ziggs","disname":"U2000338_TFT5_Ziggs_18","type":5,"block":0,"hp":810},{"name":"TFT5_Kennen","disname":"U2000623_TFT5_Kennen_6","type":5,"block":0,"hp":600},{"name":"TFT5_Nautilus","disname":"U2000628_TFT5_Nautilus_8","type":5,"block":0,"hp":750},{"name":"TFT5_Tristana","disname":"U2000716_TFT5_Tristana_15","type":5,"block":0,"hp":990},{"name":"TFT5_MissFortune","disname":"U2000932_TFT5_MissFortune_11","type":5,"block":0,"hp":700},{"name":"TFT5_Kled","disname":"U2000252_TFT5_Kled_14","type":5,"block":3,"hp":870},{"name":"TFT5_Senna","disname":"U2000363_TFT5_Senna_20","type":5,"block":3,"hp":900},{"name":"TFT5_Olaf","disname":"U2000396_TFT5_Olaf_12","type":5,"block":3,"hp":650},{"name":"TFT5_Pyke","disname":"U2000580_TFT5_Pyke_12","type":5,"block":3,"hp":1170},{"name":"TFT5_Irelia","disname":"U2000695_TFT5_Irelia_4","type":5,"block":3,"hp":750},{"name":"TFT5_Tristana","disname":"U2000735_TFT5_Tristana_11","type":5,"block":3,"hp":550},{"name":"TFT5_DraconicEgg","disname":"U2001515_TFT5_DraconicEgg_1","type":5,"block":5,"hp":4},{"name":"TFT5_DraconicEgg","disname":"U2001516_TFT5_DraconicEgg_1","type":5,"block":1,"hp":3},{"name":"TFT5_Rell","disname":"U2001001_TFT5_Rell_1","type":5,"block":2,"hp":950}]}</t>
  </si>
  <si>
    <t>{"success":true,"code":200,"msg":"鎴愬姛","data":["TFT5_Sett","TFT5_Riven","TFT5_Yasuo","TFT5_Nocturne","TFT5_MissFortune"]}</t>
  </si>
  <si>
    <t>{"success":true,"code":200,"msg":"鎴愬姛","data":[{"isme":true,"zt":5,"fit":0,"name":"TFTChampion","disname":"AlphaChess","type":3,"block":7,"hp":58},{"fit":1,"name":"TFTChampion","disname":"涓縌Q鐏畤杞?,"type":3,"block":8,"hp":61},{"fit":1,"name":"TFTChampion","disname":"璁稿厛鐢熺殑鐬?,"type":3,"block":5,"hp":60},{"fit":2,"name":"TFTChampion","disname":"o鏄綘鍝ュ摜","type":3,"block":2,"hp":36},{"fit":3,"name":"TFTChampion","disname":"涓佸绔筴k","type":3,"block":1,"hp":31},{"fit":4,"name":"TFTChampion","disname":"鍔ㄦ劅瓒呬汉澶╀笅鏃犳晫","type":3,"block":0,"hp":61},{"fit":2,"name":"TFTChampion","disname":"EX鍜栧柋妫扻","type":3,"block":3,"hp":79},{"fit":1,"name":"TFTChampion","disname":"绁瀥j","type":3,"block":6,"hp":0},{"name":"TFT5_Poppy","disname":"U2000303_TFT5_Poppy_1","type":5,"block":0,"hp":600},{"name":"TFT5_Kled","disname":"U2000249_TFT5_Kled_1","type":5,"block":0,"hp":400},{"name":"TFT5_Khazix","disname":"U2000235_TFT5_Khazix_1","type":5,"block":2,"hp":900},{"name":"TFT5_Sett","disname":"U2000692_TFT5_Sett_1","type":5,"block":5,"hp":750},{"name":"TFT5_Ashe","disname":"U2000831_TFT5_Ashe_1","type":5,"block":2,"hp":550},{"name":"TFT5_Tristana","disname":"U2000733_TFT5_Tristana_1","type":5,"block":0,"hp":550},{"name":"TFT5_Olaf","disname":"U2000403_TFT5_Olaf_1","type":5,"block":2,"hp":650},{"name":"TFT5_Senna","disname":"U2000377_TFT5_Senna_1","type":5,"block":8,"hp":500},{"name":"TFT5_Kennen","disname":"U2000618_TFT5_Kennen_1","type":5,"block":0,"hp":600},{"name":"TFT5_Nautilus","disname":"U2000627_TFT5_Nautilus_1","type":5,"block":2,"hp":750},{"name":"TFT5_Senna","disname":"U2000382_TFT5_Senna_1","type":5,"block":7,"hp":900},{"name":"TFT5_Irelia","disname":"U2000710_TFT5_Irelia_1","type":5,"block":8,"hp":750},{"name":"TFT5_Hecarim","disname":"U2000555_TFT5_Hecarim_1","type":5,"block":7,"hp":750},{"name":"TFT5_Sett","disname":"U2000689_TFT5_Sett_1","type":5,"block":1,"hp":1350},{"name":"TFT5_Olaf","disname":"U2000409_TFT5_Olaf_11","type":5,"block":8,"hp":650},{"name":"TFT5_Ziggs","disname":"U2000360_TFT5_Ziggs_1","type":5,"block":0,"hp":450},{"name":"TFT5_Rakan","disname":"U2000823_TFT5_Rakan_4","type":5,"block":8,"hp":800},{"name":"TFT5_Rakan","disname":"U2000810_TFT5_Rakan_5","type":5,"block":2,"hp":800},{"name":"TFT5_Hecarim","disname":"U2000540_TFT5_Hecarim_1","type":5,"block":7,"hp":750},{"name":"TFT5_Nidalee","disname":"U2000895_TFT5_Nidalee_1","type":5,"block":2,"hp":800},{"name":"TFT5_Rakan","disname":"U2000816_TFT5_Rakan_2","type":5,"block":8,"hp":800},{"name":"TFT5_Ziggs","disname":"U2000336_TFT5_Ziggs_1","type":5,"block":0,"hp":450},{"name":"TFT5_Rakan","disname":"U2000814_TFT5_Rakan_1","type":5,"block":3,"hp":800},{"name":"TFT5_DraconicEgg","disname":"U2001515_TFT5_DraconicEgg_1","type":5,"block":5,"hp":4},{"name":"TFT5_DraconicEgg","disname":"U2001516_TFT5_DraconicEgg_1","type":5,"block":1,"hp":3},{"name":"TFT5_Rell","disname":"U2001001_TFT5_Rell_1","type":5,"block":2,"hp":950},{"name":"TFT5_Tristana","disname":"U2000729_TFT5_Tristana_1","type":5,"block":0,"hp":550},{"name":"TFT5_Tristana","disname":"U2000723_TFT5_Tristana_4","type":5,"block":8,"hp":550},{"name":"TFT5_Riven","disname":"U2000753_TFT5_Riven_17","type":5,"block":8,"hp":850},{"name":"TFT5_Kennen","disname":"U2000623_TFT5_Kennen_7","type":5,"block":0,"hp":600},{"name":"TFT5_MissFortune","disname":"U2000918_TFT5_MissFortune_1","type":5,"block":8,"hp":700},{"name":"TFT5_Galio","disname":"U2001028_TFT5_Galio_1","type":5,"block":1,"hp":1000},{"name":"TFT5_Diana","disname":"U2001022_TFT5_Diana_1","type":5,"block":2,"hp":750},{"name":"TFT5_DraconicEgg","disname":"U2001620_TFT5_DraconicEgg_1","type":5,"block":5,"hp":2},{"name":"TFT5_DraconicEgg","disname":"U2001621_TFT5_DraconicEgg_1","type":5,"block":1,"hp":3},{"name":"TFT5_Pyke","disname":"U2000575_TFT5_Pyke_1","type":5,"block":3,"hp":1170},{"name":"TFT5_Irelia","disname":"U2000713_TFT5_Irelia_1","type":5,"block":2,"hp":750},{"name":"TFT5_Tristana","disname":"U2000726_TFT5_Tristana_1","type":5,"block":7,"hp":550},{"name":"TFT5_MissFortune","disname":"U2000933_TFT5_MissFortune_1","type":5,"block":7,"hp":700},{"name":"TFT5_Kled","disname":"U2000257_TFT5_Kled_2","type":5,"block":7,"hp":400},{"name":"TFT5_MissFortune","disname":"U2000929_TFT5_MissFortune_1","type":5,"block":7,"hp":700},{"name":"TFT5_Poppy","disname":"U2000282_TFT5_Poppy_7","type":5,"block":7,"hp":1080},{"name":"TFT5_Senna","disname":"U2000376_TFT5_Senna_18","type":5,"block":7,"hp":900},{"name":"TFT5_Hecarim","disname":"U2000549_TFT5_Hecarim_10","type":5,"block":7,"hp":2350},{"name":"TFT5_Nautilus","disname":"U2000640_TFT5_Nautilus_16","type":5,"block":7,"hp":1350},{"name":"TFT5_Tristana","disname":"U2000732_TFT5_Tristana_16","type":5,"block":7,"hp":990},{"name":"TFT5_MissFortune","disname":"U2000920_TFT5_MissFortune_3","type":5,"block":7,"hp":1260},{"name":"TFT5_Udyr","disname":"U2000166_TFT5_Udyr_21","type":5,"block":8,"hp":1260},{"name":"TFT5_Senna","disname":"U2000389_TFT5_Senna_16","type":5,"block":8,"hp":500},{"name":"TFT5_Olaf","disname":"U2000418_TFT5_Olaf_22","type":5,"block":8,"hp":1170},{"name":"TFT5_Pyke","disname":"U2000582_TFT5_Pyke_3","type":5,"block":8,"hp":1170},{"name":"TFT5_Irelia","disname":"U2000714_TFT5_Irelia_21","type":5,"block":8,"hp":750},{"name":"TFT5_Lucian","disname":"U2000989_TFT5_Lucian_3","type":5,"block":8,"hp":800},{"name":"TFT5_Galio","disname":"U2001032_TFT5_Galio_3","type":5,"block":8,"hp":1000},{"name":"TFT5_Udyr","disname":"U2000160_TFT5_Udyr_11","type":5,"block":5,"hp":1260},{"name":"TFT5_Olaf","disname":"U2000392_TFT5_Olaf_27","type":5,"block":5,"hp":1170},{"name":"TFT5_Sett","disname":"U2000671_TFT5_Sett_6","type":5,"block":5,"hp":750},{"name":"TFT5_Rakan","disname":"U2000818_TFT5_Rakan_18","type":5,"block":5,"hp":1440},{"name":"TFT5_Ashe","disname":"U2000835_TFT5_Ashe_9","type":5,"block":5,"hp":550},{"name":"TFT5_Zyra","disname":"U2000851_TFT5_Zyra_6","type":5,"block":5,"hp":750},{"name":"TFT5_Galio","disname":"U2001035_TFT5_Galio_6","type":5,"block":5,"hp":1000},{"name":"TFT5_Khazix","disname":"U2000241_TFT5_Khazix_17","type":5,"block":2,"hp":900},{"name":"TFT5_Gragas","disname":"U2000309_TFT5_Gragas_12","type":5,"block":2,"hp":750},{"name":"TFT5_Soraka","disname":"U2000482_TFT5_Soraka_15","type":5,"block":2,"hp":550},{"name":"TFT5_Irelia","disname":"U2000705_TFT5_Irelia_10","type":5,"block":2,"hp":750},{"name":"TFT5_Riven","disname":"U2000751_TFT5_Riven_2","type":5,"block":2,"hp":850},{"name":"TFT5_LeeSin","disname":"U2000756_TFT5_LeeSin_8","type":5,"block":2,"hp":850},{"name":"TFT5_Nidalee","disname":"U2000882_TFT5_Nidalee_16","type":5,"block":2,"hp":800},{"name":"TFT5_Udyr","disname":"U2000170_TFT5_Udyr_21","type":5,"block":1,"hp":2268},{"name":"TFT5_Sett","disname":"U2000677_TFT5_Sett_16","type":5,"block":1,"hp":1750},{"name":"TFT5_Ashe","disname":"U2000845_TFT5_Ashe_5","type":5,"block":1,"hp":990},{"name":"TFT5_Zyra","disname":"U2000848_TFT5_Zyra_4","type":5,"block":1,"hp":1080},{"name":"TFT5_Zyra","disname":"U2000850_TFT5_Zyra_20","type":5,"block":1,"hp":1080},{"name":"TFT5_Galio","disname":"U2001027_TFT5_Galio_8","type":5,"block":1,"hp":2800},{"name":"TFT5_Volibear","disname":"U2001163_TFT5_Volibear_2","type":5,"block":1,"hp":1500},{"name":"TFT5_Kled","disname":"U2000251_TFT5_Kled_22","type":5,"block":0,"hp":400},{"name":"TFT5_Poppy","disname":"U2000279_TFT5_Poppy_23","type":5,"block":0,"hp":600},{"name":"TFT5_Ziggs","disname":"U2000338_TFT5_Ziggs_22","type":5,"block":0,"hp":810},{"name":"TFT5_Nautilus","disname":"U2000628_TFT5_Nautilus_12","type":5,"block":0,"hp":750},{"name":"TFT5_Tristana","disname":"U2000716_TFT5_Tristana_19","type":5,"block":0,"hp":990},{"name":"TFT5_Lulu","disname":"U2000786_TFT5_Lulu_4","type":5,"block":0,"hp":1320},{"name":"TFT5_MissFortune","disname":"U2000932_TFT5_MissFortune_15","type":5,"block":0,"hp":700},{"name":"TFT5_Senna","disname":"U2000363_TFT5_Senna_25","type":5,"block":3,"hp":900},{"name":"TFT5_Olaf","disname":"U2000396_TFT5_Olaf_17","type":5,"block":3,"hp":1170},{"name":"TFT5_Pyke","disname":"U2000580_TFT5_Pyke_17","type":5,"block":3,"hp":1170},{"name":"TFT5_Irelia","disname":"U2000695_TFT5_Irelia_9","type":5,"block":3,"hp":1350},{"name":"TFT5_Rakan","disname":"U2000817_TFT5_Rakan_3","type":5,"block":3,"hp":950},{"name":"TFT5_Lucian","disname":"U2000988_TFT5_Lucian_3","type":5,"block":3,"hp":950},{"name":"TFT5_DraconicEgg","disname":"U2001682_TFT5_DraconicEgg_1","type":5,"block":5,"hp":10},{"name":"TFT5_DraconicEgg","disname":"U2001683_TFT5_DraconicEgg_1","type":5,"block":1,"hp":10}]}</t>
  </si>
  <si>
    <t>{"success":true,"code":200,"msg":"鎴愬姛","data":["TFT5_Pyke","TFT5_Nocturne","TFT5_Zyra","TFT5_Soraka","TFT5_Riven"]}</t>
  </si>
  <si>
    <t>{"success":true,"code":200,"msg":"鎴愬姛","data":[{"isme":true,"zt":5,"fit":0,"name":"TFTChampion","disname":"AlphaChess","type":3,"block":7,"hp":58},{"fit":1,"name":"TFTChampion","disname":"涓縌Q鐏畤杞?,"type":3,"block":8,"hp":50},{"fit":1,"name":"TFTChampion","disname":"璁稿厛鐢熺殑鐬?,"type":3,"block":5,"hp":47},{"fit":2,"name":"TFTChampion","disname":"o鏄綘鍝ュ摜","type":3,"block":2,"hp":36},{"fit":3,"name":"TFTChampion","disname":"涓佸绔筴k","type":3,"block":1,"hp":31},{"fit":5,"name":"TFTChampion","disname":"鍔ㄦ劅瓒呬汉澶╀笅鏃犳晫","type":3,"block":0,"hp":48},{"fit":2,"name":"TFTChampion","disname":"EX鍜栧柋妫扻","type":3,"block":3,"hp":79},{"fit":1,"name":"TFTChampion","disname":"绁瀥j","type":3,"block":6,"hp":0},{"name":"TFT5_Kled","disname":"U2000249_TFT5_Kled_1","type":5,"block":0,"hp":400},{"name":"TFT5_Khazix","disname":"U2000235_TFT5_Khazix_1","type":5,"block":2,"hp":900},{"name":"TFT5_Sett","disname":"U2000692_TFT5_Sett_1","type":5,"block":5,"hp":750},{"name":"TFT5_Tristana","disname":"U2000733_TFT5_Tristana_1","type":5,"block":0,"hp":990},{"name":"TFT5_Senna","disname":"U2000377_TFT5_Senna_1","type":5,"block":8,"hp":500},{"name":"TFT5_Kennen","disname":"U2000618_TFT5_Kennen_1","type":5,"block":0,"hp":1080},{"name":"TFT5_Senna","disname":"U2000382_TFT5_Senna_1","type":5,"block":7,"hp":900},{"name":"TFT5_Irelia","disname":"U2000710_TFT5_Irelia_1","type":5,"block":8,"hp":750},{"name":"TFT5_Sett","disname":"U2000689_TFT5_Sett_1","type":5,"block":1,"hp":1350},{"name":"TFT5_Olaf","disname":"U2000409_TFT5_Olaf_11","type":5,"block":8,"hp":650},{"name":"TFT5_Ziggs","disname":"U2000360_TFT5_Ziggs_1","type":5,"block":0,"hp":450},{"name":"TFT5_Rakan","disname":"U2000810_TFT5_Rakan_5","type":5,"block":2,"hp":800},{"name":"TFT5_Nidalee","disname":"U2000895_TFT5_Nidalee_1","type":5,"block":2,"hp":800},{"name":"TFT5_Rakan","disname":"U2000816_TFT5_Rakan_2","type":5,"block":8,"hp":800},{"name":"TFT5_Ziggs","disname":"U2000336_TFT5_Ziggs_1","type":5,"block":0,"hp":450},{"name":"TFT5_Rakan","disname":"U2000814_TFT5_Rakan_1","type":5,"block":3,"hp":800},{"name":"TFT5_Rell","disname":"U2001001_TFT5_Rell_1","type":5,"block":2,"hp":950},{"name":"TFT5_Tristana","disname":"U2000723_TFT5_Tristana_4","type":5,"block":8,"hp":550},{"name":"TFT5_Riven","disname":"U2000753_TFT5_Riven_17","type":5,"block":8,"hp":850},{"name":"TFT5_MissFortune","disname":"U2000918_TFT5_MissFortune_1","type":5,"block":8,"hp":700},{"name":"TFT5_Galio","disname":"U2001028_TFT5_Galio_1","type":5,"block":1,"hp":1000},{"name":"TFT5_Diana","disname":"U2001022_TFT5_Diana_1","type":5,"block":2,"hp":750},{"name":"TFT5_DraconicEgg","disname":"U2001621_TFT5_DraconicEgg_1","type":5,"block":1,"hp":3},{"name":"TFT5_Pyke","disname":"U2000575_TFT5_Pyke_1","type":5,"block":3,"hp":1170},{"name":"TFT5_Irelia","disname":"U2000713_TFT5_Irelia_1","type":5,"block":2,"hp":750},{"name":"TFT5_Tristana","disname":"U2000726_TFT5_Tristana_1","type":5,"block":7,"hp":550},{"name":"TFT5_Senna","disname":"U2000376_TFT5_Senna_18","type":5,"block":7,"hp":900},{"name":"TFT5_Pyke","disname":"U2000582_TFT5_Pyke_3","type":5,"block":8,"hp":1170},{"name":"TFT5_DraconicEgg","disname":"U2001683_TFT5_DraconicEgg_1","type":5,"block":1,"hp":2},{"name":"TFT5_EmblemArmoryKey","disname":"U2001684_TFT5_EmblemArmoryKey_1","type":5,"block":1,"hp":10},{"name":"TFT5_MissFortune","disname":"U2000931_TFT5_MissFortune_2","type":5,"block":7,"hp":700},{"name":"TFT5_Draven","disname":"U2001075_TFT5_Draven_1","type":5,"block":2,"hp":700},{"name":"TFT5_Lulu","disname":"U2000783_TFT5_Lulu_1","type":5,"block":0,"hp":650},{"name":"TFT5_Kled","disname":"U2000257_TFT5_Kled_4","type":5,"block":7,"hp":400},{"name":"TFT5_Poppy","disname":"U2000282_TFT5_Poppy_9","type":5,"block":7,"hp":1080},{"name":"TFT5_Hecarim","disname":"U2000549_TFT5_Hecarim_12","type":5,"block":7,"hp":2350},{"name":"TFT5_Nautilus","disname":"U2000640_TFT5_Nautilus_18","type":5,"block":7,"hp":1350},{"name":"TFT5_Tristana","disname":"U2000732_TFT5_Tristana_18","type":5,"block":7,"hp":990},{"name":"TFT5_MissFortune","disname":"U2000920_TFT5_MissFortune_5","type":5,"block":7,"hp":1260},{"name":"TFT5_Udyr","disname":"U2000166_TFT5_Udyr_23","type":5,"block":8,"hp":1260},{"name":"TFT5_Senna","disname":"U2000389_TFT5_Senna_18","type":5,"block":8,"hp":500},{"name":"TFT5_Olaf","disname":"U2000418_TFT5_Olaf_24","type":5,"block":8,"hp":1170},{"name":"TFT5_Irelia","disname":"U2000714_TFT5_Irelia_23","type":5,"block":8,"hp":750},{"name":"TFT5_Lucian","disname":"U2000989_TFT5_Lucian_5","type":5,"block":8,"hp":800},{"name":"TFT5_Galio","disname":"U2001032_TFT5_Galio_5","type":5,"block":8,"hp":1000},{"name":"TFT5_Akshan","disname":"U2001148_TFT5_Akshan_3","type":5,"block":8,"hp":850},{"name":"TFT5_Olaf","disname":"U2000392_TFT5_Olaf_28","type":5,"block":5,"hp":1170},{"name":"TFT5_Sett","disname":"U2000671_TFT5_Sett_7","type":5,"block":5,"hp":750},{"name":"TFT5_Rakan","disname":"U2000818_TFT5_Rakan_19","type":5,"block":5,"hp":1440},{"name":"TFT5_Ashe","disname":"U2000835_TFT5_Ashe_10","type":5,"block":5,"hp":550},{"name":"TFT5_Zyra","disname":"U2000851_TFT5_Zyra_7","type":5,"block":5,"hp":750},{"name":"TFT5_Galio","disname":"U2001035_TFT5_Galio_7","type":5,"block":5,"hp":1000},{"name":"TFT5_Khazix","disname":"U2000241_TFT5_Khazix_19","type":5,"block":2,"hp":900},{"name":"TFT5_Gragas","disname":"U2000309_TFT5_Gragas_14","type":5,"block":2,"hp":750},{"name":"TFT5_Soraka","disname":"U2000482_TFT5_Soraka_17","type":5,"block":2,"hp":550},{"name":"TFT5_Irelia","disname":"U2000705_TFT5_Irelia_12","type":5,"block":2,"hp":750},{"name":"TFT5_Riven","disname":"U2000751_TFT5_Riven_4","type":5,"block":2,"hp":850},{"name":"TFT5_LeeSin","disname":"U2000756_TFT5_LeeSin_10","type":5,"block":2,"hp":850},{"name":"TFT5_Nidalee","disname":"U2000882_TFT5_Nidalee_18","type":5,"block":2,"hp":800},{"name":"TFT5_Udyr","disname":"U2000170_TFT5_Udyr_22","type":5,"block":1,"hp":2268},{"name":"TFT5_Sett","disname":"U2000677_TFT5_Sett_17","type":5,"block":1,"hp":1750},{"name":"TFT5_Ashe","disname":"U2000845_TFT5_Ashe_6","type":5,"block":1,"hp":990},{"name":"TFT5_Zyra","disname":"U2000848_TFT5_Zyra_5","type":5,"block":1,"hp":1080},{"name":"TFT5_Zyra","disname":"U2000850_TFT5_Zyra_21","type":5,"block":1,"hp":1080},{"name":"TFT5_Galio","disname":"U2001027_TFT5_Galio_9","type":5,"block":1,"hp":2800},{"name":"TFT5_Volibear","disname":"U2001163_TFT5_Volibear_3","type":5,"block":1,"hp":1500},{"name":"TFT5_Kled","disname":"U2000251_TFT5_Kled_23","type":5,"block":0,"hp":400},{"name":"TFT5_Poppy","disname":"U2000279_TFT5_Poppy_24","type":5,"block":0,"hp":1080},{"name":"TFT5_Ziggs","disname":"U2000338_TFT5_Ziggs_23","type":5,"block":0,"hp":810},{"name":"TFT5_Nautilus","disname":"U2000628_TFT5_Nautilus_13","type":5,"block":0,"hp":750},{"name":"TFT5_Tristana","disname":"U2000716_TFT5_Tristana_20","type":5,"block":0,"hp":990},{"name":"TFT5_Lulu","disname":"U2000786_TFT5_Lulu_5","type":5,"block":0,"hp":1320},{"name":"TFT5_MissFortune","disname":"U2000932_TFT5_MissFortune_16","type":5,"block":0,"hp":700},{"name":"TFT5_Senna","disname":"U2000363_TFT5_Senna_26","type":5,"block":3,"hp":900},{"name":"TFT5_Olaf","disname":"U2000396_TFT5_Olaf_18","type":5,"block":3,"hp":1170},{"name":"TFT5_Pyke","disname":"U2000580_TFT5_Pyke_18","type":5,"block":3,"hp":1170},{"name":"TFT5_Irelia","disname":"U2000695_TFT5_Irelia_10","type":5,"block":3,"hp":1350},{"name":"TFT5_Rakan","disname":"U2000817_TFT5_Rakan_4","type":5,"block":3,"hp":950},{"name":"TFT5_Lucian","disname":"U2000988_TFT5_Lucian_4","type":5,"block":3,"hp":950},{"name":"TFT5_Sejuani","disname":"U2000591_TFT5_Sejuani_2","type":5,"block":7,"hp":750},{"name":"TFT5_Rakan","disname":"U2000822_TFT5_Rakan_4","type":5,"block":5,"hp":800},{"name":"TFT5_Heimerdinger","disname":"U2001108_TFT5_Heimerdinger_2","type":5,"block":2,"hp":800},{"name":"TFT5_DraconicEgg","disname":"U2001742_TFT5_DraconicEgg_1","type":5,"block":5,"hp":1},{"name":"TFT5_DraconicEgg","disname":"U2001743_TFT5_DraconicEgg_1","type":5,"block":1,"hp":1},{"name":"TFT5_Gwen","disname":"U2001124_TFT5_Gwen_1","type":5,"block":5,"hp":950},{"name":"TFT5_Kled","disname":"U2000263_TFT5_Kled_1","type":5,"block":7,"hp":400},{"name":"TFT5_Garen","disname":"U2001128_TFT5_Garen_1","type":5,"block":1,"hp":1050},{"name":"TFT5_Heimerdinger","disname":"U2001109_TFT5_Heimerdinger_1","type":5,"block":5,"hp":800},{"name":"TFT5_Diana","disname":"U2001026_TFT5_Diana_1","type":5,"block":2,"hp":750},{"name":"TFT5_HeimerTurret","disname":"U2001752_TFT5_HeimerTurret_1","type":5,"block":5,"hp":1000},{"name":"TFT5_HeimerTurret","disname":"U2001754_TFT5_HeimerTurret_1","type":5,"block":2,"hp":1000},{"name":"TFT5_Soraka","disname":"U2000490_TFT5_Soraka_1","type":5,"block":3,"hp":550},{"name":"TFT5_Hecarim","disname":"U2000544_TFT5_Hecarim_1","type":5,"block":7,"hp":1350},{"name":"TFT5_Poppy","disname":"U2000289_TFT5_Poppy_1","type":5,"block":0,"hp":600},{"name":"TFT5_Tristana","disname":"U2000725_TFT5_Tristana_1","type":5,"block":0,"hp":550},{"name":"TFT5_Fiddlesticks","disname":"U2001070_TFT5_Fiddlesticks_2","type":5,"block":5,"hp":800},{"name":"TFT5_Ivern","disname":"U2001040_TFT5_Ivern_1","type":5,"block":5,"hp":950}]}</t>
  </si>
  <si>
    <t>{"success":true,"code":200,"msg":"鎴愬姛","data":["TFT5_Syndra","TFT5_Nautilus","TFT5_Brand","TFT5_Soraka","TFT5_Lux"]}</t>
  </si>
  <si>
    <t>{"success":true,"code":200,"msg":"鎴愬姛","data":[{"isme":true,"zt":5,"fit":0,"name":"TFTChampion","disname":"AlphaChess","type":3,"block":7,"hp":45},{"fit":2,"name":"TFTChampion","disname":"涓縌Q鐏畤杞?,"type":3,"block":8,"hp":39},{"fit":2,"name":"TFTChampion","disname":"璁稿厛鐢熺殑鐬?,"type":3,"block":5,"hp":47},{"fit":2,"name":"TFTChampion","disname":"o鏄綘鍝ュ摜","type":3,"block":2,"hp":27},{"fit":3,"name":"TFTChampion","disname":"涓佸绔筴k","type":3,"block":1,"hp":24},{"fit":5,"name":"TFTChampion","disname":"鍔ㄦ劅瓒呬汉澶╀笅鏃犳晫","type":3,"block":0,"hp":28},{"fit":2,"name":"TFTChampion","disname":"EX鍜栧柋妫扻","type":3,"block":3,"hp":68},{"fit":1,"name":"TFTChampion","disname":"绁瀥j","type":3,"block":6,"hp":0},{"name":"TFT5_Khazix","disname":"U2000235_TFT5_Khazix_1","type":5,"block":2,"hp":900},{"name":"TFT5_Sett","disname":"U2000692_TFT5_Sett_1","type":5,"block":5,"hp":750},{"name":"TFT5_Tristana","disname":"U2000733_TFT5_Tristana_1","type":5,"block":0,"hp":990},{"name":"TFT5_Senna","disname":"U2000377_TFT5_Senna_1","type":5,"block":8,"hp":500},{"name":"TFT5_Senna","disname":"U2000382_TFT5_Senna_1","type":5,"block":7,"hp":900},{"name":"TFT5_Sett","disname":"U2000689_TFT5_Sett_1","type":5,"block":1,"hp":1350},{"name":"TFT5_Olaf","disname":"U2000409_TFT5_Olaf_11","type":5,"block":8,"hp":650},{"name":"TFT5_Ziggs","disname":"U2000360_TFT5_Ziggs_1","type":5,"block":0,"hp":450},{"name":"TFT5_Nidalee","disname":"U2000895_TFT5_Nidalee_1","type":5,"block":2,"hp":800},{"name":"TFT5_Ziggs","disname":"U2000336_TFT5_Ziggs_1","type":5,"block":0,"hp":450},{"name":"TFT5_Tristana","disname":"U2000723_TFT5_Tristana_4","type":5,"block":8,"hp":550},{"name":"TFT5_MissFortune","disname":"U2000918_TFT5_MissFortune_1","type":5,"block":8,"hp":700},{"name":"TFT5_Diana","disname":"U2001022_TFT5_Diana_1","type":5,"block":2,"hp":750},{"name":"TFT5_Pyke","disname":"U2000575_TFT5_Pyke_1","type":5,"block":3,"hp":1170},{"name":"TFT5_Tristana","disname":"U2000726_TFT5_Tristana_1","type":5,"block":7,"hp":550},{"name":"TFT5_Senna","disname":"U2000376_TFT5_Senna_18","type":5,"block":7,"hp":900},{"name":"TFT5_MissFortune","disname":"U2000931_TFT5_MissFortune_2","type":5,"block":7,"hp":700},{"name":"TFT5_Lulu","disname":"U2000783_TFT5_Lulu_1","type":5,"block":0,"hp":650},{"name":"TFT5_Zyra","disname":"U2000850_TFT5_Zyra_21","type":5,"block":1,"hp":1080},{"name":"TFT5_Gwen","disname":"U2001124_TFT5_Gwen_1","type":5,"block":5,"hp":950},{"name":"TFT5_Tristana","disname":"U2000725_TFT5_Tristana_1","type":5,"block":0,"hp":550},{"name":"TFT5_Fiddlesticks","disname":"U2001070_TFT5_Fiddlesticks_2","type":5,"block":5,"hp":800},{"name":"TFT5_Ivern","disname":"U2001044_TFT5_Ivern_1","type":5,"block":2,"hp":950},{"name":"TFT5_Gragas","disname":"U2000330_TFT5_Gragas_1","type":5,"block":2,"hp":750},{"name":"TFT5_Kled","disname":"U2000257_TFT5_Kled_5","type":5,"block":7,"hp":400},{"name":"TFT5_Gragas","disname":"U2000309_TFT5_Gragas_15","type":5,"block":2,"hp":750},{"name":"TFT5_DraconicEgg","disname":"U2001829_TFT5_DraconicEgg_1","type":5,"block":5,"hp":3},{"name":"TFT5_DraconicEgg","disname":"U2001832_TFT5_DraconicEgg_1","type":5,"block":1,"hp":3},{"name":"TFT5_Lucian","disname":"U2000986_TFT5_Lucian_1","type":5,"block":3,"hp":800},{"name":"TFT5_Zyra","disname":"U2000857_TFT5_Zyra_1","type":5,"block":1,"hp":600},{"name":"TFT5_MissFortune","disname":"U2000925_TFT5_MissFortune_1","type":5,"block":8,"hp":700},{"name":"TFT5_Volibear","disname":"U2001161_TFT5_Volibear_1","type":5,"block":1,"hp":1100},{"name":"TFT5_Zyra","disname":"U2000854_TFT5_Zyra_1","type":5,"block":1,"hp":600},{"name":"TFT5_Lulu","disname":"U2000779_TFT5_Lulu_1","type":5,"block":0,"hp":650},{"name":"TFT5_Kled","disname":"U2000251_TFT5_Kled_27","type":5,"block":0,"hp":400},{"name":"TFT5_Senna","disname":"U2000390_TFT5_Senna_1","type":5,"block":7,"hp":500},{"name":"TFT5_Ivern","disname":"U2001050_TFT5_Ivern_1","type":5,"block":5,"hp":950},{"name":"TFT5_Kennen","disname":"U2000625_TFT5_Kennen_1","type":5,"block":0,"hp":600},{"name":"TFT5_MissFortune","disname":"U2000935_TFT5_MissFortune_1","type":5,"block":7,"hp":700},{"name":"TFT5_Tristana","disname":"U2000730_TFT5_Tristana_1","type":5,"block":7,"hp":550},{"name":"TFT5_Riven","disname":"U2000739_TFT5_Riven_2","type":5,"block":8,"hp":850},{"name":"TFT5_Kled","disname":"U2000263_TFT5_Kled_2","type":5,"block":7,"hp":400},{"name":"TFT5_Hecarim","disname":"U2000549_TFT5_Hecarim_16","type":5,"block":7,"hp":3430},{"name":"TFT5_Sejuani","disname":"U2000591_TFT5_Sejuani_5","type":5,"block":7,"hp":1350},{"name":"TFT5_Nautilus","disname":"U2000640_TFT5_Nautilus_22","type":5,"block":7,"hp":1350},{"name":"TFT5_Tristana","disname":"U2000732_TFT5_Tristana_22","type":5,"block":7,"hp":990},{"name":"TFT5_MissFortune","disname":"U2000920_TFT5_MissFortune_9","type":5,"block":7,"hp":1260},{"name":"TFT5_Udyr","disname":"U2000166_TFT5_Udyr_27","type":5,"block":8,"hp":1260},{"name":"TFT5_Senna","disname":"U2000389_TFT5_Senna_22","type":5,"block":8,"hp":500},{"name":"TFT5_Olaf","disname":"U2000418_TFT5_Olaf_28","type":5,"block":8,"hp":1170},{"name":"TFT5_Irelia","disname":"U2000714_TFT5_Irelia_27","type":5,"block":8,"hp":1350},{"name":"TFT5_Lucian","disname":"U2000989_TFT5_Lucian_9","type":5,"block":8,"hp":800},{"name":"TFT5_Galio","disname":"U2001032_TFT5_Galio_9","type":5,"block":8,"hp":1150},{"name":"TFT5_Akshan","disname":"U2001148_TFT5_Akshan_7","type":5,"block":8,"hp":1000},{"name":"TFT5_Olaf","disname":"U2000392_TFT5_Olaf_31","type":5,"block":5,"hp":1170},{"name":"TFT5_Sett","disname":"U2000671_TFT5_Sett_10","type":5,"block":5,"hp":750},{"name":"TFT5_Rakan","disname":"U2000818_TFT5_Rakan_22","type":5,"block":5,"hp":1590},{"name":"TFT5_Ashe","disname":"U2000835_TFT5_Ashe_13","type":5,"block":5,"hp":990},{"name":"TFT5_Zyra","disname":"U2000851_TFT5_Zyra_10","type":5,"block":5,"hp":750},{"name":"TFT5_Galio","disname":"U2001035_TFT5_Galio_10","type":5,"block":5,"hp":1000},{"name":"TFT5_Ivern","disname":"U2001040_TFT5_Ivern_4","type":5,"block":5,"hp":950},{"name":"TFT5_Heimerdinger","disname":"U2001109_TFT5_Heimerdinger_4","type":5,"block":5,"hp":800},{"name":"TFT5_HeimerTurret","disname":"U2001752_TFT5_HeimerTurret_4","type":5,"block":5,"hp":1000},{"name":"TFT5_Khazix","disname":"U2000241_TFT5_Khazix_23","type":5,"block":2,"hp":900},{"name":"TFT5_Soraka","disname":"U2000482_TFT5_Soraka_21","type":5,"block":2,"hp":550},{"name":"TFT5_Riven","disname":"U2000751_TFT5_Riven_8","type":5,"block":2,"hp":1530},{"name":"TFT5_LeeSin","disname":"U2000756_TFT5_LeeSin_14","type":5,"block":2,"hp":850},{"name":"TFT5_Nidalee","disname":"U2000882_TFT5_Nidalee_22","type":5,"block":2,"hp":800},{"name":"TFT5_Karma","disname":"U2000971_TFT5_Karma_7","type":5,"block":2,"hp":700},{"name":"TFT5_Diana","disname":"U2001026_TFT5_Diana_4","type":5,"block":2,"hp":750},{"name":"TFT5_Heimerdinger","disname":"U2001108_TFT5_Heimerdinger_6","type":5,"block":2,"hp":800},{"name":"TFT5_HeimerTurret","disname":"U2001754_TFT5_HeimerTurret_5","type":5,"block":2,"hp":1000},{"name":"TFT5_Udyr","disname":"U2000170_TFT5_Udyr_26","type":5,"block":1,"hp":2268},{"name":"TFT5_Sett","disname":"U2000677_TFT5_Sett_21","type":5,"block":1,"hp":1750},{"name":"TFT5_Ashe","disname":"U2000845_TFT5_Ashe_10","type":5,"block":1,"hp":990},{"name":"TFT5_Zyra","disname":"U2000848_TFT5_Zyra_9","type":5,"block":1,"hp":1080},{"name":"TFT5_Galio","disname":"U2001027_TFT5_Galio_13","type":5,"block":1,"hp":3600},{"name":"TFT5_Heimerdinger","disname":"U2001110_TFT5_Heimerdinger_3","type":5,"block":1,"hp":800},{"name":"TFT5_Garen","disname":"U2001128_TFT5_Garen_5","type":5,"block":1,"hp":1050},{"name":"TFT5_Volibear","disname":"U2001163_TFT5_Volibear_7","type":5,"block":1,"hp":1500},{"name":"TFT5_HeimerTurret","disname":"U2001838_TFT5_HeimerTurret_3","type":5,"block":1,"hp":1000},{"name":"TFT5_Kled","disname":"U2000249_TFT5_Kled_2","type":5,"block":0,"hp":720},{"name":"TFT5_Poppy","disname":"U2000279_TFT5_Poppy_29","type":5,"block":0,"hp":1080},{"name":"TFT5_Ziggs","disname":"U2000338_TFT5_Ziggs_28","type":5,"block":0,"hp":810},{"name":"TFT5_Kennen","disname":"U2000618_TFT5_Kennen_2","type":5,"block":0,"hp":1080},{"name":"TFT5_Tristana","disname":"U2000716_TFT5_Tristana_25","type":5,"block":0,"hp":990},{"name":"TFT5_Lulu","disname":"U2000786_TFT5_Lulu_10","type":5,"block":0,"hp":1320},{"name":"TFT5_MissFortune","disname":"U2000932_TFT5_MissFortune_21","type":5,"block":0,"hp":700},{"name":"TFT5_Senna","disname":"U2000363_TFT5_Senna_29","type":5,"block":3,"hp":900},{"name":"TFT5_Olaf","disname":"U2000396_TFT5_Olaf_21","type":5,"block":3,"hp":1170},{"name":"TFT5_Pyke","disname":"U2000580_TFT5_Pyke_21","type":5,"block":3,"hp":1170},{"name":"TFT5_Irelia","disname":"U2000695_TFT5_Irelia_13","type":5,"block":3,"hp":1350},{"name":"TFT5_Riven","disname":"U2000750_TFT5_Riven_2","type":5,"block":3,"hp":1530},{"name":"TFT5_Rakan","disname":"U2000817_TFT5_Rakan_7","type":5,"block":3,"hp":1590},{"name":"TFT5_Lucian","disname":"U2000988_TFT5_Lucian_7","type":5,"block":3,"hp":950},{"name":"TFT5_Rakan","disname":"U2000820_TFT5_Rakan_2","type":5,"block":3,"hp":800},{"name":"TFT5_Sett","disname":"U2000675_TFT5_Sett_1","type":5,"block":1,"hp":750},{"name":"TFT5_Sett","disname":"U2000691_TFT5_Sett_1","type":5,"block":1,"hp":750},{"name":"TFT5_Tristana","disname":"U2000717_TFT5_Tristana_1","type":5,"block":0,"hp":550}]}</t>
  </si>
  <si>
    <t>{"success":true,"code":200,"msg":"鎴愬姛","data":["TFT5_Sett","TFT5_Soraka","TFT5_Ivern","TFT5_Yasuo","TFT5_Poppy"]}</t>
  </si>
  <si>
    <t>{"success":true,"code":200,"msg":"鎴愬姛","data":[{"isme":true,"zt":5,"fit":0,"name":"TFTChampion","disname":"AlphaChess","type":3,"block":7,"hp":23},{"fit":2,"name":"TFTChampion","disname":"涓縌Q鐏畤杞?,"type":3,"block":8,"hp":10},{"fit":2,"name":"TFTChampion","disname":"璁稿厛鐢熺殑鐬?,"type":3,"block":5,"hp":27},{"fit":2,"name":"TFTChampion","disname":"o鏄綘鍝ュ摜","type":3,"block":2,"hp":16},{"fit":4,"name":"TFTChampion","disname":"涓佸绔筴k","type":3,"block":1,"hp":24},{"fit":5,"name":"TFTChampion","disname":"鍔ㄦ劅瓒呬汉澶╀笅鏃犳晫","type":3,"block":0,"hp":12},{"fit":3,"name":"TFTChampion","disname":"EX鍜栧柋妫扻","type":3,"block":3,"hp":41},{"fit":1,"name":"TFTChampion","disname":"绁瀥j","type":3,"block":6,"hp":0},{"name":"TFT5_Khazix","disname":"U2000235_TFT5_Khazix_1","type":5,"block":2,"hp":900},{"name":"TFT5_Sett","disname":"U2000692_TFT5_Sett_1","type":5,"block":5,"hp":750},{"name":"TFT5_Olaf","disname":"U2000409_TFT5_Olaf_11","type":5,"block":8,"hp":650},{"name":"TFT5_Ziggs","disname":"U2000336_TFT5_Ziggs_1","type":5,"block":0,"hp":810},{"name":"TFT5_Diana","disname":"U2001022_TFT5_Diana_1","type":5,"block":2,"hp":750},{"name":"TFT5_Pyke","disname":"U2000575_TFT5_Pyke_1","type":5,"block":3,"hp":1170},{"name":"TFT5_Tristana","disname":"U2000726_TFT5_Tristana_1","type":5,"block":7,"hp":550},{"name":"TFT5_Fiddlesticks","disname":"U2001070_TFT5_Fiddlesticks_2","type":5,"block":5,"hp":800},{"name":"TFT5_Gragas","disname":"U2000330_TFT5_Gragas_1","type":5,"block":2,"hp":750},{"name":"TFT5_Kled","disname":"U2000257_TFT5_Kled_5","type":5,"block":7,"hp":400},{"name":"TFT5_Gragas","disname":"U2000309_TFT5_Gragas_15","type":5,"block":2,"hp":750},{"name":"TFT5_MissFortune","disname":"U2000925_TFT5_MissFortune_1","type":5,"block":8,"hp":700},{"name":"TFT5_Volibear","disname":"U2001161_TFT5_Volibear_1","type":5,"block":1,"hp":1100},{"name":"TFT5_Kled","disname":"U2000251_TFT5_Kled_27","type":5,"block":0,"hp":400},{"name":"TFT5_Ivern","disname":"U2001050_TFT5_Ivern_1","type":5,"block":5,"hp":950},{"name":"TFT5_Kennen","disname":"U2000625_TFT5_Kennen_1","type":5,"block":0,"hp":600},{"name":"TFT5_Tristana","disname":"U2000730_TFT5_Tristana_1","type":5,"block":7,"hp":550},{"name":"TFT5_Poppy","disname":"U2000283_TFT5_Poppy_1","type":5,"block":0,"hp":600},{"name":"TFT5_Garen","disname":"U2001130_TFT5_Garen_1","type":5,"block":1,"hp":1050},{"name":"TFT5_MissFortune","disname":"U2000924_TFT5_MissFortune_1","type":5,"block":7,"hp":700},{"name":"TFT5_Galio","disname":"U2001036_TFT5_Galio_1","type":5,"block":1,"hp":1000},{"name":"TFT5_Lulu","disname":"U2000774_TFT5_Lulu_1","type":5,"block":0,"hp":1170},{"name":"TFT5_MissFortune","disname":"U2000926_TFT5_MissFortune_1","type":5,"block":0,"hp":700},{"name":"TFT5_Kennen","disname":"U2000606_TFT5_Kennen_1","type":5,"block":0,"hp":600},{"name":"TFT5_Akshan","disname":"U2001154_TFT5_Akshan_1","type":5,"block":8,"hp":850},{"name":"TFT5_Kled","disname":"U2000255_TFT5_Kled_2","type":5,"block":0,"hp":400},{"name":"TFT5_MissFortune","disname":"U2000920_TFT5_MissFortune_12","type":5,"block":7,"hp":1260},{"name":"TFT5_DraconicEgg","disname":"U2002121_TFT5_DraconicEgg_1","type":5,"block":5,"hp":3},{"name":"TFT5_DraconicEgg","disname":"U2002124_TFT5_DraconicEgg_1","type":5,"block":1,"hp":2},{"name":"TFT5_Gwen","disname":"U2001127_TFT5_Gwen_1","type":5,"block":5,"hp":950},{"name":"TFT5_Heimerdinger","disname":"U2001112_TFT5_Heimerdinger_1","type":5,"block":2,"hp":800},{"name":"TFT5_Lulu","disname":"U2000784_TFT5_Lulu_1","type":5,"block":0,"hp":650},{"name":"TFT5_Gwen","disname":"U2001118_TFT5_Gwen_1","type":5,"block":3,"hp":950},{"name":"TFT5_Akshan","disname":"U2001153_TFT5_Akshan_1","type":5,"block":5,"hp":850},{"name":"TFT5_Garen","disname":"U2001137_TFT5_Garen_1","type":5,"block":5,"hp":1050},{"name":"TFT5_Heimerdinger","disname":"U2001115_TFT5_Heimerdinger_1","type":5,"block":5,"hp":800},{"name":"TFT5_Kled","disname":"U2000263_TFT5_Kled_7","type":5,"block":7,"hp":400},{"name":"TFT5_Senna","disname":"U2000379_TFT5_Senna_4","type":5,"block":7,"hp":1620},{"name":"TFT5_Hecarim","disname":"U2000549_TFT5_Hecarim_21","type":5,"block":7,"hp":3430},{"name":"TFT5_Sejuani","disname":"U2000591_TFT5_Sejuani_10","type":5,"block":7,"hp":1350},{"name":"TFT5_Nautilus","disname":"U2000640_TFT5_Nautilus_27","type":5,"block":7,"hp":1500},{"name":"TFT5_Tristana","disname":"U2000732_TFT5_Tristana_27","type":5,"block":7,"hp":990},{"name":"TFT5_MissFortune","disname":"U2000923_TFT5_MissFortune_3","type":5,"block":7,"hp":1260},{"name":"TFT5_Udyr","disname":"U2000166_TFT5_Udyr_31","type":5,"block":8,"hp":1260},{"name":"TFT5_Senna","disname":"U2000389_TFT5_Senna_26","type":5,"block":8,"hp":900},{"name":"TFT5_Olaf","disname":"U2000418_TFT5_Olaf_32","type":5,"block":8,"hp":1170},{"name":"TFT5_Irelia","disname":"U2000714_TFT5_Irelia_31","type":5,"block":8,"hp":1350},{"name":"TFT5_Tristana","disname":"U2000723_TFT5_Tristana_7","type":5,"block":8,"hp":550},{"name":"TFT5_MissFortune","disname":"U2000918_TFT5_MissFortune_5","type":5,"block":8,"hp":700},{"name":"TFT5_Lucian","disname":"U2000989_TFT5_Lucian_13","type":5,"block":8,"hp":800},{"name":"TFT5_Galio","disname":"U2001032_TFT5_Galio_13","type":5,"block":8,"hp":1150},{"name":"TFT5_Akshan","disname":"U2001148_TFT5_Akshan_11","type":5,"block":8,"hp":1000},{"name":"TFT5_Sett","disname":"U2000671_TFT5_Sett_14","type":5,"block":5,"hp":750},{"name":"TFT5_Ashe","disname":"U2000835_TFT5_Ashe_17","type":5,"block":5,"hp":990},{"name":"TFT5_Zyra","disname":"U2000851_TFT5_Zyra_14","type":5,"block":5,"hp":750},{"name":"TFT5_Galio","disname":"U2001035_TFT5_Galio_14","type":5,"block":5,"hp":1000},{"name":"TFT5_Ivern","disname":"U2001040_TFT5_Ivern_8","type":5,"block":5,"hp":950},{"name":"TFT5_Heimerdinger","disname":"U2001109_TFT5_Heimerdinger_8","type":5,"block":5,"hp":950},{"name":"TFT5_Gwen","disname":"U2001124_TFT5_Gwen_2","type":5,"block":5,"hp":950},{"name":"TFT5_Akshan","disname":"U2001150_TFT5_Akshan_2","type":5,"block":5,"hp":1000},{"name":"TFT5_HeimerTurret","disname":"U2001752_TFT5_HeimerTurret_8","type":5,"block":5,"hp":1000},{"name":"TFT5_Khazix","disname":"U2000241_TFT5_Khazix_28","type":5,"block":2,"hp":900},{"name":"TFT5_Soraka","disname":"U2000482_TFT5_Soraka_26","type":5,"block":2,"hp":550},{"name":"TFT5_Riven","disname":"U2000751_TFT5_Riven_13","type":5,"block":2,"hp":1530},{"name":"TFT5_Nidalee","disname":"U2000882_TFT5_Nidalee_27","type":5,"block":2,"hp":1440},{"name":"TFT5_Karma","disname":"U2000971_TFT5_Karma_12","type":5,"block":2,"hp":700},{"name":"TFT5_Diana","disname":"U2001026_TFT5_Diana_9","type":5,"block":2,"hp":750},{"name":"TFT5_Ivern","disname":"U2001044_TFT5_Ivern_2","type":5,"block":2,"hp":950},{"name":"TFT5_Heimerdinger","disname":"U2001108_TFT5_Heimerdinger_11","type":5,"block":2,"hp":950},{"name":"TFT5_HeimerTurret","disname":"U2001754_TFT5_HeimerTurret_10","type":5,"block":2,"hp":1000},{"name":"TFT5_Udyr","disname":"U2000170_TFT5_Udyr_31","type":5,"block":1,"hp":2268},{"name":"TFT5_Sett","disname":"U2000677_TFT5_Sett_26","type":5,"block":1,"hp":2830},{"name":"TFT5_Ashe","disname":"U2000845_TFT5_Ashe_15","type":5,"block":1,"hp":990},{"name":"TFT5_Zyra","disname":"U2000848_TFT5_Zyra_14","type":5,"block":1,"hp":1944},{"name":"TFT5_Galio","disname":"U2001027_TFT5_Galio_18","type":5,"block":1,"hp":3600},{"name":"TFT5_Heimerdinger","disname":"U2001110_TFT5_Heimerdinger_8","type":5,"block":1,"hp":800},{"name":"TFT5_Garen","disname":"U2001128_TFT5_Garen_10","type":5,"block":1,"hp":1050},{"name":"TFT5_Volibear","disname":"U2001163_TFT5_Volibear_12","type":5,"block":1,"hp":1500},{"name":"TFT5_HeimerTurret","disname":"U2001838_TFT5_HeimerTurret_8","type":5,"block":1,"hp":1000},{"name":"TFT5_Kled","disname":"U2000249_TFT5_Kled_6","type":5,"block":0,"hp":870},{"name":"TFT5_Poppy","disname":"U2000279_TFT5_Poppy_33","type":5,"block":0,"hp":1080},{"name":"TFT5_Ziggs","disname":"U2000338_TFT5_Ziggs_32","type":5,"block":0,"hp":810},{"name":"TFT5_Kennen","disname":"U2000618_TFT5_Kennen_6","type":5,"block":0,"hp":1080},{"name":"TFT5_Tristana","disname":"U2000716_TFT5_Tristana_29","type":5,"block":0,"hp":1782},{"name":"TFT5_Lulu","disname":"U2000786_TFT5_Lulu_14","type":5,"block":0,"hp":1320},{"name":"TFT5_MissFortune","disname":"U2000932_TFT5_MissFortune_25","type":5,"block":0,"hp":700},{"name":"TFT5_Senna","disname":"U2000363_TFT5_Senna_32","type":5,"block":3,"hp":900},{"name":"TFT5_Olaf","disname":"U2000396_TFT5_Olaf_24","type":5,"block":3,"hp":1170},{"name":"TFT5_Pyke","disname":"U2000580_TFT5_Pyke_24","type":5,"block":3,"hp":1170},{"name":"TFT5_Irelia","disname":"U2000695_TFT5_Irelia_16","type":5,"block":3,"hp":1500},{"name":"TFT5_Rakan","disname":"U2000817_TFT5_Rakan_10","type":5,"block":3,"hp":1590},{"name":"TFT5_Lucian","disname":"U2000988_TFT5_Lucian_10","type":5,"block":3,"hp":1590},{"name":"TFT5_Galio","disname":"U2001029_TFT5_Galio_2","type":5,"block":3,"hp":1000},{"name":"TFT5_MissFortune","disname":"U2000934_TFT5_MissFortune_2","type":5,"block":7,"hp":850},{"name":"TFT5_Ziggs","disname":"U2000362_TFT5_Ziggs_2","type":5,"block":5,"hp":600},{"name":"TFT5_Akshan","disname":"U2001149_TFT5_Akshan_2","type":5,"block":1,"hp":1000},{"name":"TFT5_Gwen","disname":"U2001126_TFT5_Gwen_2","type":5,"block":3,"hp":950},{"name":"TFT5_DraconicEgg","disname":"U2002211_TFT5_DraconicEgg_1","type":5,"block":5,"hp":1},{"name":"TFT5_DraconicEgg","disname":"U2002214_TFT5_DraconicEgg_1","type":5,"block":1,"hp":4}]}</t>
  </si>
  <si>
    <t>Origins</t>
  </si>
  <si>
    <t>oid</t>
  </si>
  <si>
    <t>Abomination</t>
  </si>
  <si>
    <t>Dawnbringer</t>
  </si>
  <si>
    <t>Draconic</t>
  </si>
  <si>
    <t>Forgotten</t>
  </si>
  <si>
    <t>Hellion</t>
  </si>
  <si>
    <t>Inanimate</t>
  </si>
  <si>
    <t>Ironclad</t>
  </si>
  <si>
    <t>Nightbringer</t>
  </si>
  <si>
    <t>Redeemed</t>
  </si>
  <si>
    <t>Revenant</t>
  </si>
  <si>
    <t>Sentinel</t>
  </si>
  <si>
    <t>Victorious</t>
  </si>
  <si>
    <t>Classes</t>
  </si>
  <si>
    <t>clid</t>
  </si>
  <si>
    <t>Assassin</t>
  </si>
  <si>
    <t>Brawler</t>
  </si>
  <si>
    <t>Cannoneer</t>
  </si>
  <si>
    <t>Caretaker</t>
  </si>
  <si>
    <t>Cavalier</t>
  </si>
  <si>
    <t>Cruel</t>
  </si>
  <si>
    <t>Invoker</t>
  </si>
  <si>
    <t>Knight</t>
  </si>
  <si>
    <t>Legionnaire</t>
  </si>
  <si>
    <t>Mystic</t>
  </si>
  <si>
    <t>Ranger</t>
  </si>
  <si>
    <t>Renewer</t>
  </si>
  <si>
    <t>Skirmisher</t>
  </si>
  <si>
    <t>Spellweaver</t>
  </si>
  <si>
    <t>hp not find</t>
  </si>
  <si>
    <t>save info</t>
  </si>
  <si>
    <t>"block":2,"hp":1150</t>
  </si>
  <si>
    <t>"block":7,"hp":1150</t>
  </si>
  <si>
    <t>"block":3,"hp":1150</t>
  </si>
  <si>
    <t>"block":3,"hp":1450</t>
  </si>
  <si>
    <t>"block":1,"hp":100</t>
  </si>
  <si>
    <t>{"success":true,"code":200,"msg":"鎴愬姛","data":[{"isme":true,"zt":5,"fit":0,"name":"TFTChampion","disname":"AlphaChess","type":3,"block":2,"hp":88},{"fit":1,"name":"TFTChampion","disname":"Etenlly涓禠ife","type":3,"block":7,"hp":68},{"fit":1,"name":"TFTChampion","disname":"yxw璧涚兢821176636","type":3,"block":8,"hp":44},{"fit":0,"name":"TFTChampion","disname":"闅捐繃鐨勫垢绂?,"type":3,"block":5,"hp":70},{"fit":1,"name":"TFTChampion","disname":"濞滅編鏄潯缇庝汉楸?,"type":3,"block":1,"hp":84},{"fit":1,"name":"TFTChampion","disname":"Blade9","type":3,"block":0,"hp":92},{"fit":2,"name":"TFTChampion","disname":"妯辩拑娴嗘灉","type":3,"block":3,"hp":86},{"fit":0,"name":"TFTChampion","disname":"涓惰鎴戝噳蹇竴浼氬効","type":3,"block":6,"hp":100},{"name":"TFT5_Gragas","disname":"U2000331_TFT5_Gragas_1","type":5,"block":7,"hp":750},{"name":"TFT5_Senna","disname":"U2000365_TFT5_Senna_1","type":5,"block":6,"hp":500},{"name":"TFT5_Kalista","disname":"U2000436_TFT5_Kalista_1","type":5,"block":7,"hp":500},{"name":"TFT5_Senna","disname":"U2000386_TFT5_Senna_1","type":5,"block":5,"hp":500},{"name":"TFT5_Senna","disname":"U2000377_TFT5_Senna_1","type":5,"block":5,"hp":500},{"name":"TFT5_Tristana","disname":"U2000721_TFT5_Tristana_1","type":5,"block":5,"hp":550},{"name":"TFT5_Kled","disname":"U2000275_TFT5_Kled_1","type":5,"block":5,"hp":400},{"name":"TFT5_Kled","disname":"U2000269_TFT5_Kled_1","type":5,"block":2,"hp":400},{"name":"TFT5_Tristana","disname":"U2000717_TFT5_Tristana_1","type":5,"block":5,"hp":550},{"name":"TFT5_Olaf","disname":"U2000397_TFT5_Olaf_1","type":5,"block":5,"hp":1170},{"name":"TFT5_Senna","disname":"U2000382_TFT5_Senna_1","type":5,"block":1,"hp":500},{"name":"TFT5_Brand","disname":"U2000530_TFT5_Brand_1","type":5,"block":3,"hp":600},{"name":"TFT5_Gragas","disname":"U2000309_TFT5_Gragas_1","type":5,"block":0,"hp":750},{"name":"TFT5_Kennen","disname":"U2000624_TFT5_Kennen_1","type":5,"block":6,"hp":600},{"name":"TFT5_MissFortune","disname":"U2000923_TFT5_MissFortune_1","type":5,"block":6,"hp":700},{"name":"TFT5_Ziggs","disname":"U2000348_TFT5_Ziggs_7","type":5,"block":7,"hp":450},{"name":"TFT5_Vladimir","disname":"U2000207_TFT5_Vladimir_10","type":5,"block":2,"hp":1170},{"name":"TFT5_Olaf","disname":"U2000403_TFT5_Olaf_2","type":5,"block":1,"hp":650},{"name":"TFT5_Tristana","disname":"U2000723_TFT5_Tristana_1","type":5,"block":1,"hp":550},{"name":"TFT5_Sett","disname":"U2000683_TFT5_Sett_1","type":5,"block":3,"hp":750},{"name":"TFT5_Pyke","disname":"U2000567_TFT5_Pyke_1","type":5,"block":6,"hp":650},{"name":"TFT5_Gragas","disname":"U2000308_TFT5_Gragas_1","type":5,"block":0,"hp":750},{"name":"TFT5_Hecarim","disname":"U2000541_TFT5_Hecarim_1","type":5,"block":0,"hp":750},{"name":"TestCubeRender","disname":"TestCube","type":5,"block":0,"hp":100},{"name":"TFT5_Soraka","disname":"U2000484_TFT5_Soraka_1","type":5,"block":0,"hp":550},{"name":"TFT5_Pyke","disname":"U2000570_TFT5_Pyke_1","type":5,"block":0,"hp":650},{"name":"TFT5_Varus","disname":"U2000458_TFT5_Varus_1","type":5,"block":0,"hp":600},{"name":"TFT5_Brand","disname":"U2000533_TFT5_Brand_1","type":5,"block":7,"hp":600},{"name":"TFT5_Ziggs","disname":"U2000343_TFT5_Ziggs_1","type":5,"block":3,"hp":810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FT5_Gragas","disname":"U2000329_TFT5_Gragas_12","type":5,"block":7,"hp":1150},{"name":"TFT5_Kalista","disname":"U2000448_TFT5_Kalista_9","type":5,"block":7,"hp":500},{"name":"TFT5_Sejuani","disname":"U2000595_TFT5_Sejuani_4","type":5,"block":7,"hp":1150},{"name":"TFT5_Sejuani","disname":"U2000603_TFT5_Sejuani_3","type":5,"block":7,"hp":1150},{"name":"TFT5_Yasuo","disname":"U2000901_TFT5_Yasuo_3","type":5,"block":7,"hp":800},{"name":"TFT5_Udyr","disname":"U2000160_TFT5_Udyr_17","type":5,"block":8,"hp":700},{"name":"TFT5_Lux","disname":"U2000804_TFT5_Lux_10","type":5,"block":8,"hp":600},{"name":"TFT5_Kled","disname":"U2000263_TFT5_Kled_6","type":5,"block":5,"hp":720},{"name":"TFT5_Poppy","disname":"U2000298_TFT5_Poppy_9","type":5,"block":5,"hp":600},{"name":"TFT5_Senna","disname":"U2000366_TFT5_Senna_6","type":5,"block":5,"hp":900},{"name":"TFT5_Olaf","disname":"U2000396_TFT5_Olaf_9","type":5,"block":5,"hp":1170},{"name":"TFT5_Vayne","disname":"U2000120_TFT5_Vayne_4","type":5,"block":2,"hp":500},{"name":"TFT5_Kled","disname":"U2000265_TFT5_Kled_10","type":5,"block":2,"hp":400},{"name":"TFT5_Hecarim","disname":"U2000553_TFT5_Hecarim_6","type":5,"block":2,"hp":750},{"name":"TFT5_Sejuani","disname":"U2000604_TFT5_Sejuani_12","type":5,"block":2,"hp":1350},{"name":"TFT5_Yasuo","disname":"U2000917_TFT5_Yasuo_3","type":5,"block":2,"hp":800},{"name":"TFT5_Senna","disname":"U2000372_TFT5_Senna_9","type":5,"block":1,"hp":500},{"name":"TFT5_Pyke","disname":"U2000573_TFT5_Pyke_10","type":5,"block":1,"hp":1170},{"name":"TFT5_Irelia","disname":"U2000703_TFT5_Irelia_2","type":5,"block":1,"hp":750},{"name":"TFT5_Tristana","disname":"U2000731_TFT5_Tristana_7","type":5,"block":1,"hp":550},{"name":"TFT5_Rakan","disname":"U2000825_TFT5_Rakan_10","type":5,"block":1,"hp":800},{"name":"TFT5_Aatrox","disname":"U2000100_TFT5_Aatrox_14","type":5,"block":0,"hp":1320},{"name":"TFT5_Ziggs","disname":"U2000344_TFT5_Ziggs_10","type":5,"block":0,"hp":450},{"name":"TFT5_Kalista","disname":"U2000440_TFT5_Kalista_10","type":5,"block":0,"hp":900},{"name":"TFT5_Brand","disname":"U2000531_TFT5_Brand_12","type":5,"block":0,"hp":600},{"name":"TFT5_Sejuani","disname":"U2000588_TFT5_Sejuani_3","type":5,"block":0,"hp":1350},{"name":"TFT5_Gragas","disname":"U2000316_TFT5_Gragas_3","type":5,"block":3,"hp":1150},{"name":"TFT5_Kalista","disname":"U2000430_TFT5_Kalista_13","type":5,"block":3,"hp":900},{"name":"TFT5_Brand","disname":"U2000525_TFT5_Brand_6","type":5,"block":3,"hp":600},{"name":"TFT5_Nunu","disname":"U2000867_TFT5_Nunu_11","type":5,"block":3,"hp":1450},{"name":"TFT5_Yasuo","disname":"U2000913_TFT5_Yasuo_6","type":5,"block":3,"hp":800},{"name":"TFT5_Senna","disname":"U2000383_TFT5_Senna_14","type":5,"block":6,"hp":500},{"name":"TFT5_Olaf","disname":"U2000392_TFT5_Olaf_17","type":5,"block":6,"hp":2170},{"name":"TFT5_Pyke","disname":"U2000580_TFT5_Pyke_14","type":5,"block":6,"hp":650},{"name":"TFT5_Kennen","disname":"U2000616_TFT5_Kennen_9","type":5,"block":6,"hp":600},{"name":"TFT5_Nidalee","disname":"U2000882_TFT5_Nidalee_9","type":5,"block":6,"hp":950},{"name":"TFT5_Olaf","disname":"U2000412_TFT5_Olaf_1","type":5,"block":6,"hp":650}]}</t>
  </si>
  <si>
    <t>"block":0,"hp":100</t>
  </si>
  <si>
    <t>"block":7,"hp":100</t>
  </si>
  <si>
    <t>{"success":true,"code":200,"msg":"鎴愬姛","data":[{"isme":true,"zt":5,"fit":0,"name":"TFTChampion","disname":"AlphaChess","type":3,"block":2,"hp":88},{"fit":1,"name":"TFTChampion","disname":"Etenlly涓禠ife","type":3,"block":7,"hp":68},{"fit":1,"name":"TFTChampion","disname":"yxw璧涚兢821176636","type":3,"block":8,"hp":32},{"fit":0,"name":"TFTChampion","disname":"闅捐繃鐨勫垢绂?,"type":3,"block":5,"hp":70},{"fit":1,"name":"TFTChampion","disname":"濞滅編鏄潯缇庝汉楸?,"type":3,"block":1,"hp":84},{"fit":1,"name":"TFTChampion","disname":"Blade9","type":3,"block":0,"hp":82},{"fit":2,"name":"TFTChampion","disname":"妯辩拑娴嗘灉","type":3,"block":3,"hp":78},{"fit":1,"name":"TFTChampion","disname":"涓惰鎴戝噳蹇竴浼氬効","type":3,"block":6,"hp":92},{"name":"TFT5_Gragas","disname":"U2000331_TFT5_Gragas_1","type":5,"block":7,"hp":750},{"name":"TFT5_Senna","disname":"U2000365_TFT5_Senna_1","type":5,"block":6,"hp":500},{"name":"TFT5_Kalista","disname":"U2000436_TFT5_Kalista_1","type":5,"block":7,"hp":500},{"name":"TFT5_Senna","disname":"U2000386_TFT5_Senna_1","type":5,"block":5,"hp":500},{"name":"TFT5_Senna","disname":"U2000377_TFT5_Senna_1","type":5,"block":5,"hp":500},{"name":"TFT5_Kled","disname":"U2000275_TFT5_Kled_1","type":5,"block":5,"hp":400},{"name":"TFT5_Kled","disname":"U2000269_TFT5_Kled_1","type":5,"block":2,"hp":400},{"name":"TFT5_Olaf","disname":"U2000397_TFT5_Olaf_1","type":5,"block":5,"hp":1170},{"name":"TFT5_Senna","disname":"U2000382_TFT5_Senna_1","type":5,"block":1,"hp":500},{"name":"TFT5_Brand","disname":"U2000530_TFT5_Brand_1","type":5,"block":3,"hp":600},{"name":"TFT5_Gragas","disname":"U2000309_TFT5_Gragas_1","type":5,"block":0,"hp":750},{"name":"TFT5_MissFortune","disname":"U2000923_TFT5_MissFortune_1","type":5,"block":6,"hp":700},{"name":"TFT5_Ziggs","disname":"U2000348_TFT5_Ziggs_7","type":5,"block":7,"hp":450},{"name":"TFT5_Vladimir","disname":"U2000207_TFT5_Vladimir_10","type":5,"block":2,"hp":1170},{"name":"TFT5_Olaf","disname":"U2000403_TFT5_Olaf_2","type":5,"block":1,"hp":650},{"name":"TFT5_Tristana","disname":"U2000723_TFT5_Tristana_1","type":5,"block":1,"hp":550},{"name":"TFT5_Sett","disname":"U2000683_TFT5_Sett_1","type":5,"block":3,"hp":750},{"name":"TFT5_Pyke","disname":"U2000567_TFT5_Pyke_1","type":5,"block":6,"hp":650},{"name":"TFT5_Gragas","disname":"U2000308_TFT5_Gragas_1","type":5,"block":0,"hp":750},{"name":"TestCubeRender","disname":"TestCube","type":5,"block":0,"hp":100},{"name":"TFT5_Brand","disname":"U2000533_TFT5_Brand_1","type":5,"block":7,"hp":600},{"name":"TFT5_Ziggs","disname":"U2000343_TFT5_Ziggs_1","type":5,"block":3,"hp":810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FT5_Sejuani","disname":"U2000603_TFT5_Sejuani_3","type":5,"block":7,"hp":750},{"name":"TFT5_Irelia","disname":"U2000703_TFT5_Irelia_2","type":5,"block":1,"hp":750},{"name":"TFT5_Senna","disname":"U2000383_TFT5_Senna_14","type":5,"block":6,"hp":500},{"name":"TFT5_Kled","disname":"U2000257_TFT5_Kled_1","type":5,"block":5,"hp":400},{"name":"TFT5_Kennen","disname":"U2000612_TFT5_Kennen_1","type":5,"block":5,"hp":600},{"name":"TFT5_Gragas","disname":"U2000329_TFT5_Gragas_14","type":5,"block":7,"hp":1300},{"name":"TFT5_Kalista","disname":"U2000448_TFT5_Kalista_11","type":5,"block":7,"hp":500},{"name":"TFT5_Brand","disname":"U2000535_TFT5_Brand_3","type":5,"block":7,"hp":600},{"name":"TFT5_Sejuani","disname":"U2000595_TFT5_Sejuani_6","type":5,"block":7,"hp":1150},{"name":"TFT5_Yasuo","disname":"U2000901_TFT5_Yasuo_5","type":5,"block":7,"hp":800},{"name":"TFT5_Udyr","disname":"U2000160_TFT5_Udyr_18","type":5,"block":8,"hp":700},{"name":"TFT5_Lux","disname":"U2000804_TFT5_Lux_11","type":5,"block":8,"hp":600},{"name":"TFT5_Kled","disname":"U2000263_TFT5_Kled_8","type":5,"block":5,"hp":720},{"name":"TFT5_Poppy","disname":"U2000298_TFT5_Poppy_11","type":5,"block":5,"hp":600},{"name":"TFT5_Senna","disname":"U2000366_TFT5_Senna_8","type":5,"block":5,"hp":900},{"name":"TFT5_Olaf","disname":"U2000396_TFT5_Olaf_11","type":5,"block":5,"hp":1170},{"name":"TFT5_Tristana","disname":"U2000717_TFT5_Tristana_3","type":5,"block":5,"hp":990},{"name":"TFT5_Vayne","disname":"U2000120_TFT5_Vayne_6","type":5,"block":2,"hp":500},{"name":"TFT5_Kled","disname":"U2000265_TFT5_Kled_12","type":5,"block":2,"hp":400},{"name":"TFT5_Hecarim","disname":"U2000553_TFT5_Hecarim_8","type":5,"block":2,"hp":750},{"name":"TFT5_Sejuani","disname":"U2000604_TFT5_Sejuani_14","type":5,"block":2,"hp":1350},{"name":"TFT5_Yasuo","disname":"U2000917_TFT5_Yasuo_5","type":5,"block":2,"hp":800},{"name":"TFT5_Senna","disname":"U2000372_TFT5_Senna_10","type":5,"block":1,"hp":500},{"name":"TFT5_Pyke","disname":"U2000573_TFT5_Pyke_11","type":5,"block":1,"hp":1170},{"name":"TFT5_Tristana","disname":"U2000731_TFT5_Tristana_8","type":5,"block":1,"hp":550},{"name":"TFT5_Rakan","disname":"U2000825_TFT5_Rakan_11","type":5,"block":1,"hp":1440},{"name":"TFT5_Rell","disname":"U2000996_TFT5_Rell_2","type":5,"block":1,"hp":950},{"name":"TFT5_Aatrox","disname":"U2000100_TFT5_Aatrox_16","type":5,"block":0,"hp":1320},{"name":"TFT5_Ziggs","disname":"U2000344_TFT5_Ziggs_12","type":5,"block":0,"hp":450},{"name":"TFT5_Kalista","disname":"U2000440_TFT5_Kalista_12","type":5,"block":0,"hp":900},{"name":"TFT5_Brand","disname":"U2000531_TFT5_Brand_14","type":5,"block":0,"hp":600},{"name":"TFT5_Sejuani","disname":"U2000588_TFT5_Sejuani_5","type":5,"block":0,"hp":1350},{"name":"TFT5_Gragas","disname":"U2000316_TFT5_Gragas_4","type":5,"block":3,"hp":1150},{"name":"TFT5_Kalista","disname":"U2000430_TFT5_Kalista_14","type":5,"block":3,"hp":900},{"name":"TFT5_Brand","disname":"U2000525_TFT5_Brand_7","type":5,"block":3,"hp":600},{"name":"TFT5_Nunu","disname":"U2000867_TFT5_Nunu_12","type":5,"block":3,"hp":1450},{"name":"TFT5_Yasuo","disname":"U2000913_TFT5_Yasuo_7","type":5,"block":3,"hp":800},{"name":"TFT5_Olaf","disname":"U2000412_TFT5_Olaf_2","type":5,"block":6,"hp":650},{"name":"TFT5_Pyke","disname":"U2000580_TFT5_Pyke_15","type":5,"block":6,"hp":650},{"name":"TFT5_Kennen","disname":"U2000616_TFT5_Kennen_10","type":5,"block":6,"hp":600},{"name":"TFT5_Nidalee","disname":"U2000882_TFT5_Nidalee_10","type":5,"block":6,"hp":950},{"name":"TFT5_Lucian","disname":"U2000981_TFT5_Lucian_2","type":5,"block":6,"hp":1800}]}</t>
  </si>
  <si>
    <t>"block":7,"hp":1300</t>
  </si>
  <si>
    <t>{"success":true,"code":200,"msg":"鎴愬姛","data":[{"isme":true,"zt":5,"fit":0,"name":"TFTChampion","disname":"AlphaChess","type":3,"block":2,"hp":88},{"fit":1,"name":"TFTChampion","disname":"Etenlly涓禠ife","type":3,"block":7,"hp":68},{"fit":1,"name":"TFTChampion","disname":"yxw璧涚兢821176636","type":3,"block":8,"hp":32},{"fit":0,"name":"TFTChampion","disname":"闅捐繃鐨勫垢绂?,"type":3,"block":5,"hp":70},{"fit":1,"name":"TFTChampion","disname":"濞滅編鏄潯缇庝汉楸?,"type":3,"block":1,"hp":84},{"fit":1,"name":"TFTChampion","disname":"Blade9","type":3,"block":0,"hp":82},{"fit":2,"name":"TFTChampion","disname":"妯辩拑娴嗘灉","type":3,"block":3,"hp":78},{"fit":1,"name":"TFTChampion","disname":"涓惰鎴戝噳蹇竴浼氬効","type":3,"block":6,"hp":92},{"name":"TFT5_Gragas","disname":"U2000331_TFT5_Gragas_1","type":5,"block":7,"hp":750},{"name":"TFT5_Senna","disname":"U2000365_TFT5_Senna_1","type":5,"block":6,"hp":500},{"name":"TFT5_Kalista","disname":"U2000436_TFT5_Kalista_1","type":5,"block":7,"hp":500},{"name":"TFT5_Senna","disname":"U2000386_TFT5_Senna_1","type":5,"block":5,"hp":500},{"name":"TFT5_Senna","disname":"U2000377_TFT5_Senna_1","type":5,"block":5,"hp":500},{"name":"TFT5_Kled","disname":"U2000275_TFT5_Kled_1","type":5,"block":5,"hp":400},{"name":"TFT5_Kled","disname":"U2000269_TFT5_Kled_1","type":5,"block":2,"hp":400},{"name":"TFT5_Olaf","disname":"U2000397_TFT5_Olaf_1","type":5,"block":5,"hp":1170},{"name":"TFT5_Senna","disname":"U2000382_TFT5_Senna_1","type":5,"block":1,"hp":500},{"name":"TFT5_Brand","disname":"U2000530_TFT5_Brand_1","type":5,"block":3,"hp":600},{"name":"TFT5_Gragas","disname":"U2000309_TFT5_Gragas_1","type":5,"block":0,"hp":750},{"name":"TFT5_MissFortune","disname":"U2000923_TFT5_MissFortune_1","type":5,"block":6,"hp":700},{"name":"TFT5_Ziggs","disname":"U2000348_TFT5_Ziggs_7","type":5,"block":7,"hp":450},{"name":"TFT5_Vladimir","disname":"U2000207_TFT5_Vladimir_10","type":5,"block":2,"hp":1170},{"name":"TFT5_Olaf","disname":"U2000403_TFT5_Olaf_2","type":5,"block":1,"hp":650},{"name":"TFT5_Tristana","disname":"U2000723_TFT5_Tristana_1","type":5,"block":1,"hp":550},{"name":"TFT5_Sett","disname":"U2000683_TFT5_Sett_1","type":5,"block":3,"hp":750},{"name":"TFT5_Pyke","disname":"U2000567_TFT5_Pyke_1","type":5,"block":6,"hp":650},{"name":"TFT5_Gragas","disname":"U2000308_TFT5_Gragas_1","type":5,"block":0,"hp":750},{"name":"TFT5_Brand","disname":"U2000533_TFT5_Brand_1","type":5,"block":7,"hp":600},{"name":"TFT5_Ziggs","disname":"U2000343_TFT5_Ziggs_1","type":5,"block":3,"hp":810},{"name":"TFT5_Sejuani","disname":"U2000603_TFT5_Sejuani_3","type":5,"block":7,"hp":750},{"name":"TFT5_Irelia","disname":"U2000703_TFT5_Irelia_2","type":5,"block":1,"hp":750},{"name":"TFT5_Senna","disname":"U2000383_TFT5_Senna_14","type":5,"block":6,"hp":500},{"name":"TFT5_Kled","disname":"U2000257_TFT5_Kled_1","type":5,"block":5,"hp":400},{"name":"TFT5_Kennen","disname":"U2000612_TFT5_Kennen_1","type":5,"block":5,"hp":600},{"name":"TFT5_Gragas","disname":"U2000329_TFT5_Gragas_14","type":5,"block":7,"hp":1300},{"name":"TFT5_Kalista","disname":"U2000448_TFT5_Kalista_11","type":5,"block":7,"hp":500},{"name":"TFT5_Brand","disname":"U2000535_TFT5_Brand_3","type":5,"block":7,"hp":600},{"name":"TFT5_Sejuani","disname":"U2000595_TFT5_Sejuani_6","type":5,"block":7,"hp":1150},{"name":"TFT5_Yasuo","disname":"U2000901_TFT5_Yasuo_5","type":5,"block":7,"hp":800},{"name":"TFT5_Udyr","disname":"U2000160_TFT5_Udyr_18","type":5,"block":8,"hp":700},{"name":"TFT5_Lux","disname":"U2000804_TFT5_Lux_11","type":5,"block":8,"hp":600},{"name":"TFT5_Kled","disname":"U2000263_TFT5_Kled_8","type":5,"block":5,"hp":720},{"name":"TFT5_Poppy","disname":"U2000298_TFT5_Poppy_11","type":5,"block":5,"hp":600},{"name":"TFT5_Senna","disname":"U2000366_TFT5_Senna_8","type":5,"block":5,"hp":900},{"name":"TFT5_Olaf","disname":"U2000396_TFT5_Olaf_11","type":5,"block":5,"hp":1170},{"name":"TFT5_Tristana","disname":"U2000717_TFT5_Tristana_3","type":5,"block":5,"hp":990},{"name":"TFT5_Vayne","disname":"U2000120_TFT5_Vayne_6","type":5,"block":2,"hp":500},{"name":"TFT5_Kled","disname":"U2000265_TFT5_Kled_12","type":5,"block":2,"hp":400},{"name":"TFT5_Hecarim","disname":"U2000553_TFT5_Hecarim_8","type":5,"block":2,"hp":750},{"name":"TFT5_Sejuani","disname":"U2000604_TFT5_Sejuani_14","type":5,"block":2,"hp":1350},{"name":"TFT5_Yasuo","disname":"U2000917_TFT5_Yasuo_5","type":5,"block":2,"hp":800},{"name":"TFT5_Senna","disname":"U2000372_TFT5_Senna_10","type":5,"block":1,"hp":500},{"name":"TFT5_Pyke","disname":"U2000573_TFT5_Pyke_11","type":5,"block":1,"hp":1170},{"name":"TFT5_Tristana","disname":"U2000731_TFT5_Tristana_8","type":5,"block":1,"hp":550},{"name":"TFT5_Rakan","disname":"U2000825_TFT5_Rakan_11","type":5,"block":1,"hp":1440},{"name":"TFT5_Rell","disname":"U2000996_TFT5_Rell_2","type":5,"block":1,"hp":950},{"name":"TFT5_Aatrox","disname":"U2000100_TFT5_Aatrox_16","type":5,"block":0,"hp":1320},{"name":"TFT5_Ziggs","disname":"U2000344_TFT5_Ziggs_12","type":5,"block":0,"hp":450},{"name":"TFT5_Kalista","disname":"U2000440_TFT5_Kalista_12","type":5,"block":0,"hp":900},{"name":"TFT5_Brand","disname":"U2000531_TFT5_Brand_14","type":5,"block":0,"hp":600},{"name":"TFT5_Sejuani","disname":"U2000588_TFT5_Sejuani_5","type":5,"block":0,"hp":1350},{"name":"TFT5_Gragas","disname":"U2000316_TFT5_Gragas_4","type":5,"block":3,"hp":1150},{"name":"TFT5_Kalista","disname":"U2000430_TFT5_Kalista_14","type":5,"block":3,"hp":900},{"name":"TFT5_Brand","disname":"U2000525_TFT5_Brand_7","type":5,"block":3,"hp":600},{"name":"TFT5_Nunu","disname":"U2000867_TFT5_Nunu_12","type":5,"block":3,"hp":1450},{"name":"TFT5_Yasuo","disname":"U2000913_TFT5_Yasuo_7","type":5,"block":3,"hp":800},{"name":"TFT5_Olaf","disname":"U2000412_TFT5_Olaf_2","type":5,"block":6,"hp":650},{"name":"TFT5_Pyke","disname":"U2000580_TFT5_Pyke_15","type":5,"block":6,"hp":650},{"name":"TFT5_Kennen","disname":"U2000616_TFT5_Kennen_10","type":5,"block":6,"hp":600},{"name":"TFT5_Nidalee","disname":"U2000882_TFT5_Nidalee_10","type":5,"block":6,"hp":950},{"name":"TFT5_Lucian","disname":"U2000981_TFT5_Lucian_2","type":5,"block":6,"hp":1800},{"name":"TFT5_Nunu","disname":"U2000879_TFT5_Nunu_1","type":5,"block":3,"hp":900},{"name":"TFT5_Tristana","disname":"U2000722_TFT5_Tristana_1","type":5,"block":5,"hp":550},{"name":"TFT5_Irelia","disname":"U2000708_TFT5_Irelia_1","type":5,"block":1,"hp":750},{"name":"TFT5_Olaf","disname":"U2000419_TFT5_Olaf_2","type":5,"block":1,"hp":650},{"name":"TFT5_Poppy","disname":"U2000276_TFT5_Poppy_4","type":5,"block":5,"hp":600},{"name":"TFT5_Gragas","disname":"U2000306_TFT5_Gragas_1","type":5,"block":3,"hp":750},{"name":"TFT5_MissFortune","disname":"U2000935_TFT5_MissFortune_1","type":5,"block":1,"hp":700}]}</t>
  </si>
  <si>
    <t>{"success":true,"code":200,"msg":"鎴愬姛","data":[{"isme":true,"zt":5,"fit":0,"name":"TFTChampion","disname":"AlphaChess","type":3,"block":2,"hp":88},{"fit":2,"name":"TFTChampion","disname":"Etenlly涓禠ife","type":3,"block":7,"hp":56},{"fit":1,"name":"TFTChampion","disname":"yxw璧涚兢821176636","type":3,"block":8,"hp":19},{"fit":0,"name":"TFTChampion","disname":"闅捐繃鐨勫垢绂?,"type":3,"block":5,"hp":70},{"fit":1,"name":"TFTChampion","disname":"濞滅編鏄潯缇庝汉楸?,"type":3,"block":1,"hp":84},{"fit":1,"name":"TFTChampion","disname":"Blade9","type":3,"block":0,"hp":76},{"fit":2,"name":"TFTChampion","disname":"妯辩拑娴嗘灉","type":3,"block":3,"hp":70},{"fit":1,"name":"TFTChampion","disname":"涓惰鎴戝噳蹇竴浼氬効","type":3,"block":6,"hp":92},{"name":"TFT5_Gragas","disname":"U2000331_TFT5_Gragas_1","type":5,"block":7,"hp":750},{"name":"TFT5_Senna","disname":"U2000365_TFT5_Senna_1","type":5,"block":6,"hp":500},{"name":"TFT5_Kalista","disname":"U2000436_TFT5_Kalista_1","type":5,"block":7,"hp":500},{"name":"TFT5_Senna","disname":"U2000386_TFT5_Senna_1","type":5,"block":5,"hp":900},{"name":"TFT5_Kled","disname":"U2000275_TFT5_Kled_1","type":5,"block":5,"hp":400},{"name":"TFT5_Kled","disname":"U2000269_TFT5_Kled_1","type":5,"block":2,"hp":400},{"name":"TFT5_Olaf","disname":"U2000397_TFT5_Olaf_1","type":5,"block":5,"hp":1170},{"name":"TFT5_Senna","disname":"U2000382_TFT5_Senna_1","type":5,"block":1,"hp":500},{"name":"TFT5_Brand","disname":"U2000530_TFT5_Brand_1","type":5,"block":3,"hp":600},{"name":"TFT5_Gragas","disname":"U2000309_TFT5_Gragas_1","type":5,"block":0,"hp":1150},{"name":"TFT5_Ziggs","disname":"U2000348_TFT5_Ziggs_7","type":5,"block":7,"hp":450},{"name":"TFT5_Olaf","disname":"U2000403_TFT5_Olaf_2","type":5,"block":1,"hp":650},{"name":"TFT5_Tristana","disname":"U2000723_TFT5_Tristana_1","type":5,"block":1,"hp":550},{"name":"TFT5_Sett","disname":"U2000683_TFT5_Sett_1","type":5,"block":3,"hp":750},{"name":"TFT5_Pyke","disname":"U2000567_TFT5_Pyke_1","type":5,"block":6,"hp":650},{"name":"TFT5_Gragas","disname":"U2000308_TFT5_Gragas_1","type":5,"block":0,"hp":750},{"name":"TFT5_Brand","disname":"U2000533_TFT5_Brand_1","type":5,"block":7,"hp":600},{"name":"TFT5_Ziggs","disname":"U2000343_TFT5_Ziggs_1","type":5,"block":3,"hp":810},{"name":"TFT5_Sejuani","disname":"U2000603_TFT5_Sejuani_3","type":5,"block":7,"hp":750},{"name":"TFT5_Irelia","disname":"U2000703_TFT5_Irelia_2","type":5,"block":1,"hp":750},{"name":"TFT5_Senna","disname":"U2000383_TFT5_Senna_14","type":5,"block":6,"hp":500},{"name":"TFT5_Kled","disname":"U2000257_TFT5_Kled_1","type":5,"block":5,"hp":400},{"name":"TFT5_Kennen","disname":"U2000612_TFT5_Kennen_1","type":5,"block":5,"hp":600},{"name":"TFT5_Nunu","disname":"U2000879_TFT5_Nunu_1","type":5,"block":3,"hp":900},{"name":"TFT5_Tristana","disname":"U2000722_TFT5_Tristana_1","type":5,"block":5,"hp":550},{"name":"TFT5_Irelia","disname":"U2000708_TFT5_Irelia_1","type":5,"block":1,"hp":750},{"name":"TFT5_Olaf","disname":"U2000419_TFT5_Olaf_2","type":5,"block":1,"hp":650},{"name":"TFT5_Gragas","disname":"U2000306_TFT5_Gragas_1","type":5,"block":3,"hp":750},{"name":"TFT5_MissFortune","disname":"U2000935_TFT5_MissFortune_1","type":5,"block":1,"hp":700},{"name":"TFT5_Vayne","disname":"U2000105_TFT5_Vayne_1","type":5,"block":2,"hp":500},{"name":"TFT5_Gragas","disname":"U2000329_TFT5_Gragas_15","type":5,"block":7,"hp":1300},{"name":"TFT5_Kalista","disname":"U2000448_TFT5_Kalista_12","type":5,"block":7,"hp":500},{"name":"TFT5_Brand","disname":"U2000535_TFT5_Brand_4","type":5,"block":7,"hp":600},{"name":"TFT5_Sejuani","disname":"U2000595_TFT5_Sejuani_7","type":5,"block":7,"hp":1150},{"name":"TFT5_Yasuo","disname":"U2000901_TFT5_Yasuo_6","type":5,"block":7,"hp":800},{"name":"TFT5_Udyr","disname":"U2000160_TFT5_Udyr_19","type":5,"block":8,"hp":700},{"name":"TFT5_Lux","disname":"U2000804_TFT5_Lux_12","type":5,"block":8,"hp":600},{"name":"TFT5_Kled","disname":"U2000263_TFT5_Kled_10","type":5,"block":5,"hp":720},{"name":"TFT5_Poppy","disname":"U2000298_TFT5_Poppy_13","type":5,"block":5,"hp":1080},{"name":"TFT5_Senna","disname":"U2000366_TFT5_Senna_10","type":5,"block":5,"hp":900},{"name":"TFT5_Olaf","disname":"U2000396_TFT5_Olaf_13","type":5,"block":5,"hp":1170},{"name":"TFT5_Tristana","disname":"U2000717_TFT5_Tristana_5","type":5,"block":5,"hp":990},{"name":"TFT5_Vayne","disname":"U2000120_TFT5_Vayne_8","type":5,"block":2,"hp":500},{"name":"TFT5_Vladimir","disname":"U2000207_TFT5_Vladimir_12","type":5,"block":2,"hp":1170},{"name":"TFT5_Kled","disname":"U2000265_TFT5_Kled_14","type":5,"block":2,"hp":400},{"name":"TFT5_Hecarim","disname":"U2000553_TFT5_Hecarim_10","type":5,"block":2,"hp":750},{"name":"TFT5_Sejuani","disname":"U2000604_TFT5_Sejuani_16","type":5,"block":2,"hp":1350},{"name":"TFT5_Yasuo","disname":"U2000917_TFT5_Yasuo_7","type":5,"block":2,"hp":800},{"name":"TFT5_Senna","disname":"U2000372_TFT5_Senna_11","type":5,"block":1,"hp":500},{"name":"TFT5_Pyke","disname":"U2000573_TFT5_Pyke_12","type":5,"block":1,"hp":1170},{"name":"TFT5_Tristana","disname":"U2000731_TFT5_Tristana_9","type":5,"block":1,"hp":550},{"name":"TFT5_Rakan","disname":"U2000825_TFT5_Rakan_12","type":5,"block":1,"hp":1440},{"name":"TFT5_Rell","disname":"U2000996_TFT5_Rell_3","type":5,"block":1,"hp":950},{"name":"TFT5_Aatrox","disname":"U2000100_TFT5_Aatrox_17","type":5,"block":0,"hp":1320},{"name":"TFT5_Ziggs","disname":"U2000344_TFT5_Ziggs_13","type":5,"block":0,"hp":450},{"name":"TFT5_Kalista","disname":"U2000440_TFT5_Kalista_13","type":5,"block":0,"hp":900},{"name":"TFT5_Brand","disname":"U2000531_TFT5_Brand_15","type":5,"block":0,"hp":600},{"name":"TFT5_Sejuani","disname":"U2000588_TFT5_Sejuani_6","type":5,"block":0,"hp":1750},{"name":"TFT5_Gragas","disname":"U2000316_TFT5_Gragas_6","type":5,"block":3,"hp":1150},{"name":"TFT5_Kalista","disname":"U2000430_TFT5_Kalista_16","type":5,"block":3,"hp":900},{"name":"TFT5_Brand","disname":"U2000525_TFT5_Brand_9","type":5,"block":3,"hp":600},{"name":"TFT5_Nunu","disname":"U2000867_TFT5_Nunu_14","type":5,"block":3,"hp":1450},{"name":"TFT5_Yasuo","disname":"U2000913_TFT5_Yasuo_9","type":5,"block":3,"hp":800},{"name":"TFT5_Olaf","disname":"U2000412_TFT5_Olaf_4","type":5,"block":6,"hp":650},{"name":"TFT5_Pyke","disname":"U2000580_TFT5_Pyke_17","type":5,"block":6,"hp":650},{"name":"TFT5_Kennen","disname":"U2000616_TFT5_Kennen_12","type":5,"block":6,"hp":600},{"name":"TFT5_Nidalee","disname":"U2000882_TFT5_Nidalee_12","type":5,"block":6,"hp":950},{"name":"TFT5_MissFortune","disname":"U2000923_TFT5_MissFortune_3","type":5,"block":6,"hp":700},{"name":"TFT5_Lucian","disname":"U2000981_TFT5_Lucian_4","type":5,"block":6,"hp":1800},{"name":"TFT5_Rakan","disname":"U2000812_TFT5_Rakan_2","type":5,"block":8,"hp":800},{"name":"TFT5_Zyra","disname":"U2000855_TFT5_Zyra_2","type":5,"block":0,"hp":600},{"name":"TFT5_Nautilus","disname":"U2000643_TFT5_Nautilus_2","type":5,"block":3,"hp":750},{"name":"TFT5_Kennen","disname":"U2000605_TFT5_Kennen_1","type":5,"block":5,"hp":600},{"name":"TFT5_Nidalee","disname":"U2000886_TFT5_Nidalee_1","type":5,"block":6,"hp":800},{"name":"TFT5_Nidalee","disname":"U2000897_TFT5_Nidalee_1","type":5,"block":6,"hp":800}]}</t>
  </si>
  <si>
    <t>"block":0,"hp":1150</t>
  </si>
  <si>
    <t>{"success":true,"code":200,"msg":"鎴愬姛","data":[{"isme":true,"zt":5,"fit":0,"name":"TFTChampion","disname":"AlphaChess","type":3,"block":2,"hp":82},{"fit":2,"name":"TFTChampion","disname":"Etenlly涓禠ife","type":3,"block":7,"hp":46},{"fit":1,"name":"TFTChampion","disname":"yxw璧涚兢821176636","type":3,"block":8,"hp":6},{"fit":1,"name":"TFTChampion","disname":"闅捐繃鐨勫垢绂?,"type":3,"block":5,"hp":70},{"fit":1,"name":"TFTChampion","disname":"濞滅編鏄潯缇庝汉楸?,"type":3,"block":1,"hp":80},{"fit":1,"name":"TFTChampion","disname":"Blade9","type":3,"block":0,"hp":76},{"fit":2,"name":"TFTChampion","disname":"妯辩拑娴嗘灉","type":3,"block":3,"hp":70},{"fit":1,"name":"TFTChampion","disname":"涓惰鎴戝噳蹇竴浼氬効","type":3,"block":6,"hp":92},{"name":"TFT5_Gragas","disname":"U2000331_TFT5_Gragas_1","type":5,"block":7,"hp":750},{"name":"TFT5_Senna","disname":"U2000365_TFT5_Senna_1","type":5,"block":6,"hp":500},{"name":"TFT5_Senna","disname":"U2000386_TFT5_Senna_1","type":5,"block":5,"hp":900},{"name":"TFT5_Kled","disname":"U2000269_TFT5_Kled_1","type":5,"block":2,"hp":400},{"name":"TFT5_Olaf","disname":"U2000397_TFT5_Olaf_1","type":5,"block":5,"hp":1170},{"name":"TFT5_Senna","disname":"U2000382_TFT5_Senna_1","type":5,"block":1,"hp":500},{"name":"TFT5_Brand","disname":"U2000530_TFT5_Brand_1","type":5,"block":3,"hp":600},{"name":"TFT5_Olaf","disname":"U2000403_TFT5_Olaf_2","type":5,"block":1,"hp":650},{"name":"TFT5_Tristana","disname":"U2000723_TFT5_Tristana_1","type":5,"block":1,"hp":550},{"name":"TFT5_Pyke","disname":"U2000567_TFT5_Pyke_1","type":5,"block":6,"hp":650},{"name":"TFT5_Brand","disname":"U2000533_TFT5_Brand_1","type":5,"block":7,"hp":600},{"name":"TFT5_Sejuani","disname":"U2000603_TFT5_Sejuani_3","type":5,"block":7,"hp":750},{"name":"TFT5_Irelia","disname":"U2000703_TFT5_Irelia_2","type":5,"block":1,"hp":750},{"name":"TFT5_Senna","disname":"U2000383_TFT5_Senna_14","type":5,"block":6,"hp":500},{"name":"TFT5_Kled","disname":"U2000257_TFT5_Kled_1","type":5,"block":5,"hp":720},{"name":"TFT5_Kennen","disname":"U2000612_TFT5_Kennen_1","type":5,"block":5,"hp":600},{"name":"TFT5_Nunu","disname":"U2000879_TFT5_Nunu_1","type":5,"block":3,"hp":900},{"name":"TFT5_Tristana","disname":"U2000722_TFT5_Tristana_1","type":5,"block":5,"hp":550},{"name":"TFT5_Irelia","disname":"U2000708_TFT5_Irelia_1","type":5,"block":1,"hp":750},{"name":"TFT5_Olaf","disname":"U2000419_TFT5_Olaf_2","type":5,"block":1,"hp":650},{"name":"TFT5_Gragas","disname":"U2000306_TFT5_Gragas_1","type":5,"block":3,"hp":750},{"name":"TFT5_Vayne","disname":"U2000105_TFT5_Vayne_1","type":5,"block":2,"hp":500},{"name":"TFT5_Vladimir","disname":"U2000207_TFT5_Vladimir_12","type":5,"block":2,"hp":1170},{"name":"TFT5_Kennen","disname":"U2000605_TFT5_Kennen_1","type":5,"block":5,"hp":600},{"name":"TFT5_Brand","disname":"U2000526_TFT5_Brand_1","type":5,"block":0,"hp":600},{"name":"TFT5_Tristana","disname":"U2000726_TFT5_Tristana_3","type":5,"block":5,"hp":550},{"name":"TFT5_Sejuani","disname":"U2000592_TFT5_Sejuani_1","type":5,"block":3,"hp":750},{"name":"TFT5_Senna","disname":"U2000387_TFT5_Senna_1","type":5,"block":5,"hp":500},{"name":"TFT5_Olaf","disname":"U2000401_TFT5_Olaf_1","type":5,"block":5,"hp":650},{"name":"TFT5_Gragas","disname":"U2000329_TFT5_Gragas_16","type":5,"block":7,"hp":1300},{"name":"TFT5_Ziggs","disname":"U2000348_TFT5_Ziggs_8","type":5,"block":7,"hp":810},{"name":"TFT5_Kalista","disname":"U2000448_TFT5_Kalista_13","type":5,"block":7,"hp":900},{"name":"TFT5_Brand","disname":"U2000535_TFT5_Brand_5","type":5,"block":7,"hp":600},{"name":"TFT5_Sejuani","disname":"U2000595_TFT5_Sejuani_8","type":5,"block":7,"hp":1150},{"name":"TFT5_Yasuo","disname":"U2000901_TFT5_Yasuo_7","type":5,"block":7,"hp":800},{"name":"TFT5_Udyr","disname":"U2000160_TFT5_Udyr_21","type":5,"block":8,"hp":700},{"name":"TFT5_Lux","disname":"U2000804_TFT5_Lux_14","type":5,"block":8,"hp":600},{"name":"TFT5_Rakan","disname":"U2000812_TFT5_Rakan_4","type":5,"block":8,"hp":800},{"name":"TFT5_Kled","disname":"U2000263_TFT5_Kled_11","type":5,"block":5,"hp":720},{"name":"TFT5_Poppy","disname":"U2000298_TFT5_Poppy_14","type":5,"block":5,"hp":1080},{"name":"TFT5_Senna","disname":"U2000366_TFT5_Senna_11","type":5,"block":5,"hp":900},{"name":"TFT5_Olaf","disname":"U2000396_TFT5_Olaf_14","type":5,"block":5,"hp":1170},{"name":"TFT5_Tristana","disname":"U2000717_TFT5_Tristana_6","type":5,"block":5,"hp":990},{"name":"TFT5_Vayne","disname":"U2000120_TFT5_Vayne_10","type":5,"block":2,"hp":500},{"name":"TFT5_Kled","disname":"U2000265_TFT5_Kled_16","type":5,"block":2,"hp":400},{"name":"TFT5_Poppy","disname":"U2000290_TFT5_Poppy_3","type":5,"block":2,"hp":600},{"name":"TFT5_Hecarim","disname":"U2000553_TFT5_Hecarim_12","type":5,"block":2,"hp":750},{"name":"TFT5_Sejuani","disname":"U2000604_TFT5_Sejuani_18","type":5,"block":2,"hp":1350},{"name":"TFT5_Yasuo","disname":"U2000917_TFT5_Yasuo_9","type":5,"block":2,"hp":800},{"name":"TFT5_Senna","disname":"U2000372_TFT5_Senna_13","type":5,"block":1,"hp":500},{"name":"TFT5_Pyke","disname":"U2000573_TFT5_Pyke_14","type":5,"block":1,"hp":1170},{"name":"TFT5_Tristana","disname":"U2000731_TFT5_Tristana_11","type":5,"block":1,"hp":550},{"name":"TFT5_Rakan","disname":"U2000825_TFT5_Rakan_14","type":5,"block":1,"hp":1440},{"name":"TFT5_MissFortune","disname":"U2000935_TFT5_MissFortune_3","type":5,"block":1,"hp":700},{"name":"TFT5_Rell","disname":"U2000996_TFT5_Rell_5","type":5,"block":1,"hp":950},{"name":"TFT5_Aatrox","disname":"U2000100_TFT5_Aatrox_19","type":5,"block":0,"hp":1320},{"name":"TFT5_Gragas","disname":"U2000309_TFT5_Gragas_3","type":5,"block":0,"hp":1750},{"name":"TFT5_Ziggs","disname":"U2000344_TFT5_Ziggs_15","type":5,"block":0,"hp":450},{"name":"TFT5_Kalista","disname":"U2000440_TFT5_Kalista_15","type":5,"block":0,"hp":900},{"name":"TFT5_Brand","disname":"U2000531_TFT5_Brand_17","type":5,"block":0,"hp":600},{"name":"TFT5_Sejuani","disname":"U2000588_TFT5_Sejuani_8","type":5,"block":0,"hp":1750},{"name":"TFT5_Gragas","disname":"U2000316_TFT5_Gragas_7","type":5,"block":3,"hp":1150},{"name":"TFT5_Ziggs","disname":"U2000343_TFT5_Ziggs_2","type":5,"block":3,"hp":810},{"name":"TFT5_Kalista","disname":"U2000430_TFT5_Kalista_17","type":5,"block":3,"hp":900},{"name":"TFT5_Brand","disname":"U2000525_TFT5_Brand_10","type":5,"block":3,"hp":600},{"name":"TFT5_Nunu","disname":"U2000867_TFT5_Nunu_15","type":5,"block":3,"hp":1450},{"name":"TFT5_Yasuo","disname":"U2000913_TFT5_Yasuo_10","type":5,"block":3,"hp":800},{"name":"TFT5_Olaf","disname":"U2000412_TFT5_Olaf_5","type":5,"block":6,"hp":650},{"name":"TFT5_Pyke","disname":"U2000580_TFT5_Pyke_18","type":5,"block":6,"hp":650},{"name":"TFT5_Kennen","disname":"U2000616_TFT5_Kennen_15","type":5,"block":6,"hp":600},{"name":"TFT5_Nidalee","disname":"U2000882_TFT5_Nidalee_13","type":5,"block":6,"hp":1590},{"name":"TFT5_MissFortune","disname":"U2000923_TFT5_MissFortune_4","type":5,"block":6,"hp":700},{"name":"TFT5_Lucian","disname":"U2000981_TFT5_Lucian_5","type":5,"block":6,"hp":1800}]}</t>
  </si>
  <si>
    <t>{"success":true,"code":200,"msg":"鎴愬姛","data":[{"isme":true,"zt":5,"fit":0,"name":"TFTChampion","disname":"AlphaChess","type":3,"block":2,"hp":82},{"fit":2,"name":"TFTChampion","disname":"Etenlly涓禠ife","type":3,"block":7,"hp":46},{"fit":1,"name":"TFTChampion","disname":"yxw璧涚兢821176636","type":3,"block":8,"hp":6},{"fit":1,"name":"TFTChampion","disname":"闅捐繃鐨勫垢绂?,"type":3,"block":5,"hp":70},{"fit":1,"name":"TFTChampion","disname":"濞滅編鏄潯缇庝汉楸?,"type":3,"block":1,"hp":80},{"fit":1,"name":"TFTChampion","disname":"Blade9","type":3,"block":0,"hp":76},{"fit":2,"name":"TFTChampion","disname":"妯辩拑娴嗘灉","type":3,"block":3,"hp":70},{"fit":1,"name":"TFTChampion","disname":"涓惰鎴戝噳蹇竴浼氬効","type":3,"block":6,"hp":92},{"name":"TFT5_Gragas","disname":"U2000331_TFT5_Gragas_1","type":5,"block":7,"hp":750},{"name":"TFT5_Senna","disname":"U2000365_TFT5_Senna_1","type":5,"block":6,"hp":500},{"name":"TFT5_Senna","disname":"U2000386_TFT5_Senna_1","type":5,"block":5,"hp":900},{"name":"TFT5_Olaf","disname":"U2000397_TFT5_Olaf_1","type":5,"block":5,"hp":1170},{"name":"TFT5_Senna","disname":"U2000382_TFT5_Senna_1","type":5,"block":1,"hp":500},{"name":"TFT5_Brand","disname":"U2000530_TFT5_Brand_1","type":5,"block":3,"hp":600},{"name":"TFT5_Olaf","disname":"U2000403_TFT5_Olaf_2","type":5,"block":1,"hp":650},{"name":"TFT5_Tristana","disname":"U2000723_TFT5_Tristana_1","type":5,"block":1,"hp":550},{"name":"TFT5_Pyke","disname":"U2000567_TFT5_Pyke_1","type":5,"block":6,"hp":650},{"name":"TFT5_Brand","disname":"U2000533_TFT5_Brand_1","type":5,"block":7,"hp":600},{"name":"TFT5_Sejuani","disname":"U2000603_TFT5_Sejuani_3","type":5,"block":7,"hp":750},{"name":"TFT5_Irelia","disname":"U2000703_TFT5_Irelia_2","type":5,"block":1,"hp":750},{"name":"TFT5_Senna","disname":"U2000383_TFT5_Senna_14","type":5,"block":6,"hp":500},{"name":"TFT5_Kled","disname":"U2000257_TFT5_Kled_1","type":5,"block":5,"hp":720},{"name":"TFT5_Kennen","disname":"U2000612_TFT5_Kennen_1","type":5,"block":5,"hp":600},{"name":"TFT5_Nunu","disname":"U2000879_TFT5_Nunu_1","type":5,"block":3,"hp":900},{"name":"TFT5_Tristana","disname":"U2000722_TFT5_Tristana_1","type":5,"block":5,"hp":990},{"name":"TFT5_Irelia","disname":"U2000708_TFT5_Irelia_1","type":5,"block":1,"hp":750},{"name":"TFT5_Olaf","disname":"U2000419_TFT5_Olaf_2","type":5,"block":1,"hp":650},{"name":"TFT5_Gragas","disname":"U2000306_TFT5_Gragas_1","type":5,"block":3,"hp":750},{"name":"TFT5_Vayne","disname":"U2000105_TFT5_Vayne_1","type":5,"block":2,"hp":500},{"name":"TFT5_Vladimir","disname":"U2000207_TFT5_Vladimir_12","type":5,"block":2,"hp":1170},{"name":"TFT5_Kennen","disname":"U2000605_TFT5_Kennen_1","type":5,"block":5,"hp":600},{"name":"TFT5_Brand","disname":"U2000526_TFT5_Brand_1","type":5,"block":0,"hp":600},{"name":"TFT5_Sejuani","disname":"U2000592_TFT5_Sejuani_1","type":5,"block":3,"hp":750},{"name":"TFT5_Senna","disname":"U2000387_TFT5_Senna_1","type":5,"block":5,"hp":500},{"name":"TFT5_Olaf","disname":"U2000401_TFT5_Olaf_1","type":5,"block":5,"hp":650},{"name":"TFT5_Gragas","disname":"U2000329_TFT5_Gragas_16","type":5,"block":7,"hp":1300},{"name":"TFT5_Ziggs","disname":"U2000348_TFT5_Ziggs_8","type":5,"block":7,"hp":810},{"name":"TFT5_Kalista","disname":"U2000448_TFT5_Kalista_13","type":5,"block":7,"hp":900},{"name":"TFT5_Brand","disname":"U2000535_TFT5_Brand_5","type":5,"block":7,"hp":600},{"name":"TFT5_Sejuani","disname":"U2000595_TFT5_Sejuani_8","type":5,"block":7,"hp":1150},{"name":"TFT5_Yasuo","disname":"U2000901_TFT5_Yasuo_7","type":5,"block":7,"hp":800},{"name":"TFT5_Udyr","disname":"U2000160_TFT5_Udyr_21","type":5,"block":8,"hp":700},{"name":"TFT5_Lux","disname":"U2000804_TFT5_Lux_14","type":5,"block":8,"hp":600},{"name":"TFT5_Rakan","disname":"U2000812_TFT5_Rakan_4","type":5,"block":8,"hp":800},{"name":"TFT5_Kled","disname":"U2000263_TFT5_Kled_11","type":5,"block":5,"hp":720},{"name":"TFT5_Poppy","disname":"U2000298_TFT5_Poppy_14","type":5,"block":5,"hp":1080},{"name":"TFT5_Senna","disname":"U2000366_TFT5_Senna_11","type":5,"block":5,"hp":900},{"name":"TFT5_Olaf","disname":"U2000396_TFT5_Olaf_14","type":5,"block":5,"hp":1170},{"name":"TFT5_Tristana","disname":"U2000717_TFT5_Tristana_6","type":5,"block":5,"hp":990},{"name":"TFT5_Vayne","disname":"U2000120_TFT5_Vayne_10","type":5,"block":2,"hp":500},{"name":"TFT5_Poppy","disname":"U2000290_TFT5_Poppy_3","type":5,"block":2,"hp":600},{"name":"TFT5_Hecarim","disname":"U2000553_TFT5_Hecarim_12","type":5,"block":2,"hp":750},{"name":"TFT5_Sejuani","disname":"U2000604_TFT5_Sejuani_18","type":5,"block":2,"hp":1350},{"name":"TFT5_Yasuo","disname":"U2000917_TFT5_Yasuo_9","type":5,"block":2,"hp":800},{"name":"TFT5_Senna","disname":"U2000372_TFT5_Senna_13","type":5,"block":1,"hp":500},{"name":"TFT5_Pyke","disname":"U2000573_TFT5_Pyke_14","type":5,"block":1,"hp":1170},{"name":"TFT5_Tristana","disname":"U2000731_TFT5_Tristana_11","type":5,"block":1,"hp":550},{"name":"TFT5_Rakan","disname":"U2000825_TFT5_Rakan_14","type":5,"block":1,"hp":1440},{"name":"TFT5_MissFortune","disname":"U2000935_TFT5_MissFortune_3","type":5,"block":1,"hp":700},{"name":"TFT5_Rell","disname":"U2000996_TFT5_Rell_5","type":5,"block":1,"hp":950},{"name":"TFT5_Aatrox","disname":"U2000100_TFT5_Aatrox_19","type":5,"block":0,"hp":1320},{"name":"TFT5_Gragas","disname":"U2000309_TFT5_Gragas_3","type":5,"block":0,"hp":1750},{"name":"TFT5_Ziggs","disname":"U2000344_TFT5_Ziggs_15","type":5,"block":0,"hp":450},{"name":"TFT5_Kalista","disname":"U2000440_TFT5_Kalista_15","type":5,"block":0,"hp":900},{"name":"TFT5_Brand","disname":"U2000531_TFT5_Brand_17","type":5,"block":0,"hp":600},{"name":"TFT5_Sejuani","disname":"U2000588_TFT5_Sejuani_8","type":5,"block":0,"hp":1750},{"name":"TFT5_Gragas","disname":"U2000316_TFT5_Gragas_7","type":5,"block":3,"hp":1150},{"name":"TFT5_Ziggs","disname":"U2000343_TFT5_Ziggs_2","type":5,"block":3,"hp":810},{"name":"TFT5_Kalista","disname":"U2000430_TFT5_Kalista_17","type":5,"block":3,"hp":900},{"name":"TFT5_Brand","disname":"U2000525_TFT5_Brand_10","type":5,"block":3,"hp":600},{"name":"TFT5_Nunu","disname":"U2000867_TFT5_Nunu_15","type":5,"block":3,"hp":1450},{"name":"TFT5_Yasuo","disname":"U2000913_TFT5_Yasuo_10","type":5,"block":3,"hp":800},{"name":"TFT5_Olaf","disname":"U2000412_TFT5_Olaf_5","type":5,"block":6,"hp":650},{"name":"TFT5_Pyke","disname":"U2000580_TFT5_Pyke_18","type":5,"block":6,"hp":650},{"name":"TFT5_Kennen","disname":"U2000616_TFT5_Kennen_15","type":5,"block":6,"hp":600},{"name":"TFT5_Nidalee","disname":"U2000882_TFT5_Nidalee_13","type":5,"block":6,"hp":1590},{"name":"TFT5_MissFortune","disname":"U2000923_TFT5_MissFortune_4","type":5,"block":6,"hp":850},{"name":"TFT5_Lucian","disname":"U2000981_TFT5_Lucian_5","type":5,"block":6,"hp":1800},{"name":"TFT5_Varus","disname":"U2000451_TFT5_Varus_1","type":5,"block":2,"hp":600},{"name":"TFT5_MissFortune","disname":"U2000921_TFT5_MissFortune_1","type":5,"block":6,"hp":700},{"name":"TFT5_Syndra","disname":"U2000498_TFT5_Syndra_2","type":5,"block":2,"hp":600},{"name":"TFT5_Kennen","disname":"U2000608_TFT5_Kennen_2","type":5,"block":6,"hp":600},{"name":"TFT5_Yasuo","disname":"U2000914_TFT5_Yasuo_1","type":5,"block":7,"hp":800},{"name":"TFT5_Vayne","disname":"U2000118_TFT5_Vayne_1","type":5,"block":3,"hp":500},{"name":"TFT5_Poppy","disname":"U2000297_TFT5_Poppy_1","type":5,"block":5,"hp":600}]}</t>
  </si>
  <si>
    <t>{"success":true,"code":200,"msg":"鎴愬姛","data":[{"isme":true,"zt":5,"fit":0,"name":"TFTChampion","disname":"AlphaChess","type":3,"block":2,"hp":82},{"fit":2,"name":"TFTChampion","disname":"Etenlly涓禠ife","type":3,"block":7,"hp":40},{"fit":1,"name":"TFTChampion","disname":"yxw璧涚兢821176636","type":3,"block":8,"hp":0},{"fit":1,"name":"TFTChampion","disname":"闅捐繃鐨勫垢绂?,"type":3,"block":5,"hp":70},{"fit":1,"name":"TFTChampion","disname":"濞滅編鏄潯缇庝汉楸?,"type":3,"block":1,"hp":80},{"fit":2,"name":"TFTChampion","disname":"Blade9","type":3,"block":0,"hp":68},{"fit":2,"name":"TFTChampion","disname":"妯辩拑娴嗘灉","type":3,"block":3,"hp":64},{"fit":1,"name":"TFTChampion","disname":"涓惰鎴戝噳蹇竴浼氬効","type":3,"block":6,"hp":92},{"name":"TFT5_Gragas","disname":"U2000331_TFT5_Gragas_1","type":5,"block":7,"hp":750},{"name":"TFT5_Senna","disname":"U2000365_TFT5_Senna_1","type":5,"block":6,"hp":500},{"name":"TFT5_Senna","disname":"U2000386_TFT5_Senna_1","type":5,"block":5,"hp":900},{"name":"TFT5_Olaf","disname":"U2000397_TFT5_Olaf_1","type":5,"block":5,"hp":1170},{"name":"TFT5_Senna","disname":"U2000382_TFT5_Senna_1","type":5,"block":1,"hp":500},{"name":"TFT5_Olaf","disname":"U2000403_TFT5_Olaf_2","type":5,"block":1,"hp":650},{"name":"TFT5_Pyke","disname":"U2000567_TFT5_Pyke_1","type":5,"block":6,"hp":650},{"name":"TFT5_Sejuani","disname":"U2000603_TFT5_Sejuani_3","type":5,"block":7,"hp":750},{"name":"TFT5_Irelia","disname":"U2000703_TFT5_Irelia_2","type":5,"block":1,"hp":750},{"name":"TFT5_Senna","disname":"U2000383_TFT5_Senna_14","type":5,"block":6,"hp":500},{"name":"TFT5_Kled","disname":"U2000257_TFT5_Kled_1","type":5,"block":5,"hp":720},{"name":"TFT5_Nunu","disname":"U2000879_TFT5_Nunu_1","type":5,"block":3,"hp":900},{"name":"TFT5_Tristana","disname":"U2000722_TFT5_Tristana_1","type":5,"block":5,"hp":990},{"name":"TFT5_Irelia","disname":"U2000708_TFT5_Irelia_1","type":5,"block":1,"hp":750},{"name":"TFT5_Olaf","disname":"U2000419_TFT5_Olaf_2","type":5,"block":1,"hp":650},{"name":"TFT5_Gragas","disname":"U2000306_TFT5_Gragas_1","type":5,"block":3,"hp":750},{"name":"TFT5_Vladimir","disname":"U2000207_TFT5_Vladimir_12","type":5,"block":2,"hp":1170},{"name":"TFT5_Brand","disname":"U2000526_TFT5_Brand_1","type":5,"block":0,"hp":600},{"name":"TFT5_Sejuani","disname":"U2000592_TFT5_Sejuani_1","type":5,"block":3,"hp":750},{"name":"TFT5_Senna","disname":"U2000387_TFT5_Senna_1","type":5,"block":5,"hp":500},{"name":"TFT5_Olaf","disname":"U2000401_TFT5_Olaf_1","type":5,"block":5,"hp":650},{"name":"TFT5_Vayne","disname":"U2000120_TFT5_Vayne_10","type":5,"block":2,"hp":500},{"name":"TFT5_MissFortune","disname":"U2000921_TFT5_MissFortune_1","type":5,"block":6,"hp":700},{"name":"TFT5_Kennen","disname":"U2000608_TFT5_Kennen_2","type":5,"block":6,"hp":600},{"name":"TFT5_Yasuo","disname":"U2000914_TFT5_Yasuo_1","type":5,"block":7,"hp":800},{"name":"TFT5_Vayne","disname":"U2000118_TFT5_Vayne_1","type":5,"block":3,"hp":500},{"name":"TFT5_Senna","disname":"U2000368_TFT5_Senna_1","type":5,"block":5,"hp":500},{"name":"TFT5_Olaf","disname":"U2000418_TFT5_Olaf_1","type":5,"block":5,"hp":650},{"name":"TFT5_Aatrox","disname":"U2000087_TFT5_Aatrox_1","type":5,"block":2,"hp":650},{"name":"TFT5_Gragas","disname":"U2000329_TFT5_Gragas_17","type":5,"block":7,"hp":1300},{"name":"TFT5_Ziggs","disname":"U2000348_TFT5_Ziggs_9","type":5,"block":7,"hp":810},{"name":"TFT5_Kalista","disname":"U2000448_TFT5_Kalista_14","type":5,"block":7,"hp":900},{"name":"TFT5_Brand","disname":"U2000535_TFT5_Brand_6","type":5,"block":7,"hp":1080},{"name":"TFT5_Sejuani","disname":"U2000595_TFT5_Sejuani_9","type":5,"block":7,"hp":1150},{"name":"TFT5_Yasuo","disname":"U2000901_TFT5_Yasuo_8","type":5,"block":7,"hp":800},{"name":"TFT5_Kled","disname":"U2000263_TFT5_Kled_12","type":5,"block":5,"hp":720},{"name":"TFT5_Poppy","disname":"U2000298_TFT5_Poppy_15","type":5,"block":5,"hp":1080},{"name":"TFT5_Senna","disname":"U2000366_TFT5_Senna_12","type":5,"block":5,"hp":900},{"name":"TFT5_Olaf","disname":"U2000396_TFT5_Olaf_15","type":5,"block":5,"hp":1170},{"name":"TFT5_Tristana","disname":"U2000717_TFT5_Tristana_7","type":5,"block":5,"hp":990},{"name":"TFT5_Varus","disname":"U2000451_TFT5_Varus_2","type":5,"block":2,"hp":750},{"name":"TFT5_Syndra","disname":"U2000498_TFT5_Syndra_3","type":5,"block":2,"hp":600},{"name":"TFT5_Hecarim","disname":"U2000553_TFT5_Hecarim_13","type":5,"block":2,"hp":750},{"name":"TFT5_Sejuani","disname":"U2000604_TFT5_Sejuani_19","type":5,"block":2,"hp":1350},{"name":"TFT5_Yasuo","disname":"U2000917_TFT5_Yasuo_10","type":5,"block":2,"hp":800},{"name":"TFT5_Senna","disname":"U2000372_TFT5_Senna_15","type":5,"block":1,"hp":500},{"name":"TFT5_Pyke","disname":"U2000573_TFT5_Pyke_16","type":5,"block":1,"hp":1170},{"name":"TFT5_Tristana","disname":"U2000731_TFT5_Tristana_13","type":5,"block":1,"hp":990},{"name":"TFT5_Rakan","disname":"U2000825_TFT5_Rakan_16","type":5,"block":1,"hp":1440},{"name":"TFT5_MissFortune","disname":"U2000935_TFT5_MissFortune_5","type":5,"block":1,"hp":700},{"name":"TFT5_Rell","disname":"U2000996_TFT5_Rell_7","type":5,"block":1,"hp":950},{"name":"TFT5_Aatrox","disname":"U2000100_TFT5_Aatrox_21","type":5,"block":0,"hp":1320},{"name":"TFT5_Gragas","disname":"U2000309_TFT5_Gragas_5","type":5,"block":0,"hp":1750},{"name":"TFT5_Ziggs","disname":"U2000344_TFT5_Ziggs_17","type":5,"block":0,"hp":450},{"name":"TFT5_Kalista","disname":"U2000440_TFT5_Kalista_17","type":5,"block":0,"hp":900},{"name":"TFT5_Brand","disname":"U2000531_TFT5_Brand_19","type":5,"block":0,"hp":600},{"name":"TFT5_Sejuani","disname":"U2000588_TFT5_Sejuani_10","type":5,"block":0,"hp":1750},{"name":"TFT5_Gragas","disname":"U2000316_TFT5_Gragas_9","type":5,"block":3,"hp":1150},{"name":"TFT5_Ziggs","disname":"U2000343_TFT5_Ziggs_4","type":5,"block":3,"hp":810},{"name":"TFT5_Kalista","disname":"U2000430_TFT5_Kalista_19","type":5,"block":3,"hp":900},{"name":"TFT5_Brand","disname":"U2000525_TFT5_Brand_12","type":5,"block":3,"hp":1080},{"name":"TFT5_Nunu","disname":"U2000867_TFT5_Nunu_17","type":5,"block":3,"hp":1450},{"name":"TFT5_Yasuo","disname":"U2000913_TFT5_Yasuo_12","type":5,"block":3,"hp":1440},{"name":"TFT5_Olaf","disname":"U2000412_TFT5_Olaf_6","type":5,"block":6,"hp":650},{"name":"TFT5_Pyke","disname":"U2000580_TFT5_Pyke_19","type":5,"block":6,"hp":650},{"name":"TFT5_Kennen","disname":"U2000616_TFT5_Kennen_16","type":5,"block":6,"hp":600},{"name":"TFT5_Nidalee","disname":"U2000882_TFT5_Nidalee_14","type":5,"block":6,"hp":1590},{"name":"TFT5_MissFortune","disname":"U2000923_TFT5_MissFortune_5","type":5,"block":6,"hp":850},{"name":"TFT5_Lucian","disname":"U2000981_TFT5_Lucian_6","type":5,"block":6,"hp":1800},{"name":"TFT5_Tristana","disname":"U2000729_TFT5_Tristana_1","type":5,"block":5,"hp":550}]}</t>
  </si>
  <si>
    <t>{"success":true,"code":200,"msg":"鎴愬姛","data":[{"isme":true,"zt":5,"fit":0,"name":"TFTChampion","disname":"AlphaChess","type":3,"block":2,"hp":82},{"fit":2,"name":"TFTChampion","disname":"Etenlly涓禠ife","type":3,"block":7,"hp":40},{"fit":1,"name":"TFTChampion","disname":"yxw璧涚兢821176636","type":3,"block":8,"hp":0},{"fit":1,"name":"TFTChampion","disname":"闅捐繃鐨勫垢绂?,"type":3,"block":5,"hp":70},{"fit":1,"name":"TFTChampion","disname":"濞滅編鏄潯缇庝汉楸?,"type":3,"block":1,"hp":80},{"fit":2,"name":"TFTChampion","disname":"Blade9","type":3,"block":0,"hp":68},{"fit":2,"name":"TFTChampion","disname":"妯辩拑娴嗘灉","type":3,"block":3,"hp":64},{"fit":1,"name":"TFTChampion","disname":"涓惰鎴戝噳蹇竴浼氬効","type":3,"block":6,"hp":92},{"name":"TFT5_Gragas","disname":"U2000331_TFT5_Gragas_1","type":5,"block":7,"hp":750},{"name":"TFT5_Senna","disname":"U2000365_TFT5_Senna_1","type":5,"block":6,"hp":500},{"name":"TFT5_Senna","disname":"U2000382_TFT5_Senna_1","type":5,"block":1,"hp":500},{"name":"TFT5_Olaf","disname":"U2000403_TFT5_Olaf_2","type":5,"block":1,"hp":650},{"name":"TFT5_Pyke","disname":"U2000567_TFT5_Pyke_1","type":5,"block":6,"hp":650},{"name":"TFT5_Sejuani","disname":"U2000603_TFT5_Sejuani_3","type":5,"block":7,"hp":750},{"name":"TFT5_Kled","disname":"U2000257_TFT5_Kled_1","type":5,"block":5,"hp":720},{"name":"TFT5_Nunu","disname":"U2000879_TFT5_Nunu_1","type":5,"block":3,"hp":900},{"name":"TFT5_Tristana","disname":"U2000722_TFT5_Tristana_1","type":5,"block":5,"hp":990},{"name":"TFT5_Olaf","disname":"U2000419_TFT5_Olaf_2","type":5,"block":1,"hp":650},{"name":"TFT5_Gragas","disname":"U2000306_TFT5_Gragas_1","type":5,"block":3,"hp":750},{"name":"TFT5_Vladimir","disname":"U2000207_TFT5_Vladimir_12","type":5,"block":2,"hp":1170},{"name":"TFT5_Brand","disname":"U2000526_TFT5_Brand_1","type":5,"block":0,"hp":600},{"name":"TFT5_Sejuani","disname":"U2000592_TFT5_Sejuani_1","type":5,"block":3,"hp":750},{"name":"TFT5_MissFortune","disname":"U2000921_TFT5_MissFortune_1","type":5,"block":6,"hp":700},{"name":"TFT5_Kennen","disname":"U2000608_TFT5_Kennen_2","type":5,"block":6,"hp":600},{"name":"TFT5_Yasuo","disname":"U2000914_TFT5_Yasuo_1","type":5,"block":7,"hp":800},{"name":"TFT5_Vayne","disname":"U2000118_TFT5_Vayne_1","type":5,"block":3,"hp":500},{"name":"TFT5_Tristana","disname":"U2000729_TFT5_Tristana_1","type":5,"block":5,"hp":550},{"name":"TFT5_Varus","disname":"U2000470_TFT5_Varus_1","type":5,"block":2,"hp":600},{"name":"TFT5_Lulu","disname":"U2000779_TFT5_Lulu_1","type":5,"block":6,"hp":650},{"name":"TFT5_Gragas","disname":"U2000329_TFT5_Gragas_18","type":5,"block":7,"hp":1300},{"name":"TFT5_Ziggs","disname":"U2000348_TFT5_Ziggs_10","type":5,"block":7,"hp":810},{"name":"TFT5_Kalista","disname":"U2000448_TFT5_Kalista_15","type":5,"block":7,"hp":900},{"name":"TFT5_Brand","disname":"U2000535_TFT5_Brand_7","type":5,"block":7,"hp":1080},{"name":"TFT5_Sejuani","disname":"U2000595_TFT5_Sejuani_10","type":5,"block":7,"hp":1150},{"name":"TFT5_Yasuo","disname":"U2000901_TFT5_Yasuo_9","type":5,"block":7,"hp":800},{"name":"TFT5_Kled","disname":"U2000263_TFT5_Kled_13","type":5,"block":5,"hp":720},{"name":"TFT5_Poppy","disname":"U2000298_TFT5_Poppy_16","type":5,"block":5,"hp":1080},{"name":"TFT5_Senna","disname":"U2000366_TFT5_Senna_13","type":5,"block":5,"hp":1620},{"name":"TFT5_Olaf","disname":"U2000396_TFT5_Olaf_16","type":5,"block":5,"hp":2106},{"name":"TFT5_Tristana","disname":"U2000717_TFT5_Tristana_8","type":5,"block":5,"hp":990},{"name":"TFT5_Aatrox","disname":"U2000087_TFT5_Aatrox_2","type":5,"block":2,"hp":650},{"name":"TFT5_Varus","disname":"U2000451_TFT5_Varus_3","type":5,"block":2,"hp":750},{"name":"TFT5_Syndra","disname":"U2000498_TFT5_Syndra_4","type":5,"block":2,"hp":600},{"name":"TFT5_Hecarim","disname":"U2000553_TFT5_Hecarim_14","type":5,"block":2,"hp":750},{"name":"TFT5_Sejuani","disname":"U2000604_TFT5_Sejuani_20","type":5,"block":2,"hp":1350},{"name":"TFT5_Yasuo","disname":"U2000917_TFT5_Yasuo_11","type":5,"block":2,"hp":800},{"name":"TFT5_Senna","disname":"U2000372_TFT5_Senna_16","type":5,"block":1,"hp":500},{"name":"TFT5_Pyke","disname":"U2000573_TFT5_Pyke_17","type":5,"block":1,"hp":1170},{"name":"TFT5_Tristana","disname":"U2000731_TFT5_Tristana_14","type":5,"block":1,"hp":990},{"name":"TFT5_Rakan","disname":"U2000825_TFT5_Rakan_17","type":5,"block":1,"hp":1440},{"name":"TFT5_MissFortune","disname":"U2000935_TFT5_MissFortune_6","type":5,"block":1,"hp":700},{"name":"TFT5_Rell","disname":"U2000996_TFT5_Rell_8","type":5,"block":1,"hp":950},{"name":"TFT5_Aatrox","disname":"U2000100_TFT5_Aatrox_22","type":5,"block":0,"hp":1320},{"name":"TFT5_Gragas","disname":"U2000309_TFT5_Gragas_6","type":5,"block":0,"hp":1750},{"name":"TFT5_Ziggs","disname":"U2000344_TFT5_Ziggs_18","type":5,"block":0,"hp":450},{"name":"TFT5_Kalista","disname":"U2000440_TFT5_Kalista_18","type":5,"block":0,"hp":900},{"name":"TFT5_Brand","disname":"U2000531_TFT5_Brand_20","type":5,"block":0,"hp":600},{"name":"TFT5_Sejuani","disname":"U2000588_TFT5_Sejuani_11","type":5,"block":0,"hp":1750},{"name":"TFT5_Gragas","disname":"U2000316_TFT5_Gragas_10","type":5,"block":3,"hp":1150},{"name":"TFT5_Ziggs","disname":"U2000343_TFT5_Ziggs_5","type":5,"block":3,"hp":810},{"name":"TFT5_Kalista","disname":"U2000430_TFT5_Kalista_20","type":5,"block":3,"hp":900},{"name":"TFT5_Brand","disname":"U2000525_TFT5_Brand_13","type":5,"block":3,"hp":1080},{"name":"TFT5_Nunu","disname":"U2000867_TFT5_Nunu_18","type":5,"block":3,"hp":1450},{"name":"TFT5_Yasuo","disname":"U2000913_TFT5_Yasuo_13","type":5,"block":3,"hp":1440},{"name":"TFT5_Senna","disname":"U2000383_TFT5_Senna_15","type":5,"block":6,"hp":500},{"name":"TFT5_Olaf","disname":"U2000412_TFT5_Olaf_7","type":5,"block":6,"hp":650},{"name":"TFT5_Pyke","disname":"U2000580_TFT5_Pyke_20","type":5,"block":6,"hp":650},{"name":"TFT5_Kennen","disname":"U2000616_TFT5_Kennen_17","type":5,"block":6,"hp":600},{"name":"TFT5_Nidalee","disname":"U2000882_TFT5_Nidalee_15","type":5,"block":6,"hp":1590},{"name":"TFT5_MissFortune","disname":"U2000923_TFT5_MissFortune_6","type":5,"block":6,"hp":850},{"name":"TFT5_Lucian","disname":"U2000981_TFT5_Lucian_7","type":5,"block":6,"hp":1800},{"name":"TFT5_Irelia","disname":"U2000701_TFT5_Irelia_1","type":5,"block":1,"hp":1350},{"name":"TFT5_Lucian","disname":"U2000980_TFT5_Lucian_1","type":5,"block":6,"hp":800},{"name":"TFT5_Kled","disname":"U2000254_TFT5_Kled_2","type":5,"block":5,"hp":400},{"name":"TFT5_Rakan","disname":"U2000810_TFT5_Rakan_4","type":5,"block":1,"hp":800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FT5_Yasuo","disname":"U2000900_TFT5_Yasuo_1","type":5,"block":1,"hp":800},{"name":"TestCubeRender","disname":"TestCube","type":5,"block":1,"hp":100},{"name":"TestCubeRender","disname":"TestCube","type":5,"block":1,"hp":100},{"name":"TFT5_Jax","disname":"U2000960_TFT5_Jax_1","type":5,"block":6,"hp":1000},{"name":"TestCubeRender","disname":"TestCube","type":5,"block":7,"hp":100},{"name":"TestCubeRender","disname":"TestCube","type":5,"block":7,"hp":100},{"name":"TestCubeRender","disname":"TestCube","type":5,"block":7,"hp":100}]}</t>
  </si>
  <si>
    <t>{"success":true,"code":200,"msg":"鎴愬姛","data":[{"isme":true,"zt":5,"fit":0,"name":"TFTChampion","disname":"AlphaChess","type":3,"block":2,"hp":82},{"fit":2,"name":"TFTChampion","disname":"Etenlly涓禠ife","type":3,"block":7,"hp":40},{"fit":1,"name":"TFTChampion","disname":"yxw璧涚兢821176636","type":3,"block":8,"hp":0},{"fit":1,"name":"TFTChampion","disname":"闅捐繃鐨勫垢绂?,"type":3,"block":5,"hp":70},{"fit":1,"name":"TFTChampion","disname":"濞滅編鏄潯缇庝汉楸?,"type":3,"block":1,"hp":80},{"fit":2,"name":"TFTChampion","disname":"Blade9","type":3,"block":0,"hp":68},{"fit":2,"name":"TFTChampion","disname":"妯辩拑娴嗘灉","type":3,"block":3,"hp":64},{"fit":1,"name":"TFTChampion","disname":"涓惰鎴戝噳蹇竴浼氬効","type":3,"block":6,"hp":92},{"name":"TFT5_Gragas","disname":"U2000331_TFT5_Gragas_1","type":5,"block":7,"hp":750},{"name":"TFT5_Senna","disname":"U2000365_TFT5_Senna_1","type":5,"block":6,"hp":500},{"name":"TFT5_Senna","disname":"U2000382_TFT5_Senna_1","type":5,"block":1,"hp":500},{"name":"TFT5_Olaf","disname":"U2000403_TFT5_Olaf_2","type":5,"block":1,"hp":650},{"name":"TFT5_Sejuani","disname":"U2000603_TFT5_Sejuani_3","type":5,"block":7,"hp":750},{"name":"TFT5_Kled","disname":"U2000257_TFT5_Kled_1","type":5,"block":5,"hp":720},{"name":"TFT5_Nunu","disname":"U2000879_TFT5_Nunu_1","type":5,"block":3,"hp":900},{"name":"TFT5_Tristana","disname":"U2000722_TFT5_Tristana_1","type":5,"block":5,"hp":990},{"name":"TFT5_Olaf","disname":"U2000419_TFT5_Olaf_2","type":5,"block":1,"hp":650},{"name":"TFT5_Vladimir","disname":"U2000207_TFT5_Vladimir_12","type":5,"block":2,"hp":1170},{"name":"TFT5_Brand","disname":"U2000526_TFT5_Brand_1","type":5,"block":0,"hp":600},{"name":"TFT5_Sejuani","disname":"U2000592_TFT5_Sejuani_1","type":5,"block":3,"hp":1150},{"name":"TFT5_MissFortune","disname":"U2000921_TFT5_MissFortune_1","type":5,"block":6,"hp":700},{"name":"TFT5_Yasuo","disname":"U2000914_TFT5_Yasuo_1","type":5,"block":7,"hp":800},{"name":"TFT5_Tristana","disname":"U2000729_TFT5_Tristana_1","type":5,"block":5,"hp":550},{"name":"TFT5_Varus","disname":"U2000470_TFT5_Varus_1","type":5,"block":2,"hp":600},{"name":"TFT5_Lulu","disname":"U2000779_TFT5_Lulu_1","type":5,"block":6,"hp":650},{"name":"TFT5_Gragas","disname":"U2000329_TFT5_Gragas_18","type":5,"block":7,"hp":1300},{"name":"TFT5_Ziggs","disname":"U2000348_TFT5_Ziggs_10","type":5,"block":7,"hp":810},{"name":"TFT5_Kalista","disname":"U2000448_TFT5_Kalista_15","type":5,"block":7,"hp":900},{"name":"TFT5_Brand","disname":"U2000535_TFT5_Brand_7","type":5,"block":7,"hp":1080},{"name":"TFT5_Sejuani","disname":"U2000595_TFT5_Sejuani_10","type":5,"block":7,"hp":1150},{"name":"TFT5_Yasuo","disname":"U2000901_TFT5_Yasuo_9","type":5,"block":7,"hp":800},{"name":"TFT5_Kled","disname":"U2000263_TFT5_Kled_13","type":5,"block":5,"hp":720},{"name":"TFT5_Poppy","disname":"U2000298_TFT5_Poppy_16","type":5,"block":5,"hp":1080},{"name":"TFT5_Senna","disname":"U2000366_TFT5_Senna_13","type":5,"block":5,"hp":1620},{"name":"TFT5_Olaf","disname":"U2000396_TFT5_Olaf_16","type":5,"block":5,"hp":2106},{"name":"TFT5_Tristana","disname":"U2000717_TFT5_Tristana_8","type":5,"block":5,"hp":990},{"name":"TFT5_Aatrox","disname":"U2000087_TFT5_Aatrox_2","type":5,"block":2,"hp":650},{"name":"TFT5_Varus","disname":"U2000451_TFT5_Varus_3","type":5,"block":2,"hp":750},{"name":"TFT5_Syndra","disname":"U2000498_TFT5_Syndra_4","type":5,"block":2,"hp":600},{"name":"TFT5_Hecarim","disname":"U2000553_TFT5_Hecarim_14","type":5,"block":2,"hp":750},{"name":"TFT5_Sejuani","disname":"U2000604_TFT5_Sejuani_20","type":5,"block":2,"hp":1350},{"name":"TFT5_Yasuo","disname":"U2000917_TFT5_Yasuo_11","type":5,"block":2,"hp":800},{"name":"TFT5_Senna","disname":"U2000372_TFT5_Senna_16","type":5,"block":1,"hp":500},{"name":"TFT5_Pyke","disname":"U2000573_TFT5_Pyke_17","type":5,"block":1,"hp":1170},{"name":"TFT5_Tristana","disname":"U2000731_TFT5_Tristana_14","type":5,"block":1,"hp":990},{"name":"TFT5_Rakan","disname":"U2000825_TFT5_Rakan_17","type":5,"block":1,"hp":1440},{"name":"TFT5_MissFortune","disname":"U2000935_TFT5_MissFortune_6","type":5,"block":1,"hp":700},{"name":"TFT5_Rell","disname":"U2000996_TFT5_Rell_8","type":5,"block":1,"hp":950},{"name":"TFT5_Aatrox","disname":"U2000100_TFT5_Aatrox_22","type":5,"block":0,"hp":1320},{"name":"TFT5_Gragas","disname":"U2000309_TFT5_Gragas_6","type":5,"block":0,"hp":1750},{"name":"TFT5_Ziggs","disname":"U2000344_TFT5_Ziggs_18","type":5,"block":0,"hp":450},{"name":"TFT5_Kalista","disname":"U2000440_TFT5_Kalista_18","type":5,"block":0,"hp":900},{"name":"TFT5_Brand","disname":"U2000531_TFT5_Brand_20","type":5,"block":0,"hp":600},{"name":"TFT5_Sejuani","disname":"U2000588_TFT5_Sejuani_11","type":5,"block":0,"hp":1750},{"name":"TFT5_Gragas","disname":"U2000316_TFT5_Gragas_10","type":5,"block":3,"hp":1750},{"name":"TFT5_Ziggs","disname":"U2000343_TFT5_Ziggs_5","type":5,"block":3,"hp":810},{"name":"TFT5_Kalista","disname":"U2000430_TFT5_Kalista_20","type":5,"block":3,"hp":900},{"name":"TFT5_Brand","disname":"U2000525_TFT5_Brand_13","type":5,"block":3,"hp":1080},{"name":"TFT5_Nunu","disname":"U2000867_TFT5_Nunu_18","type":5,"block":3,"hp":1450},{"name":"TFT5_Yasuo","disname":"U2000913_TFT5_Yasuo_13","type":5,"block":3,"hp":1440},{"name":"TFT5_Senna","disname":"U2000383_TFT5_Senna_15","type":5,"block":6,"hp":500},{"name":"TFT5_Olaf","disname":"U2000412_TFT5_Olaf_7","type":5,"block":6,"hp":650},{"name":"TFT5_Pyke","disname":"U2000580_TFT5_Pyke_20","type":5,"block":6,"hp":1170},{"name":"TFT5_Kennen","disname":"U2000616_TFT5_Kennen_17","type":5,"block":6,"hp":1080},{"name":"TFT5_MissFortune","disname":"U2000923_TFT5_MissFortune_6","type":5,"block":6,"hp":850},{"name":"TFT5_Lucian","disname":"U2000981_TFT5_Lucian_7","type":5,"block":6,"hp":1800},{"name":"TFT5_Irelia","disname":"U2000701_TFT5_Irelia_1","type":5,"block":1,"hp":1350},{"name":"TFT5_Lucian","disname":"U2000980_TFT5_Lucian_1","type":5,"block":6,"hp":800},{"name":"TFT5_Kled","disname":"U2000254_TFT5_Kled_2","type":5,"block":5,"hp":400},{"name":"TFT5_Rakan","disname":"U2000810_TFT5_Rakan_4","type":5,"block":1,"hp":800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FT5_Jax","disname":"U2000960_TFT5_Jax_1","type":5,"block":6,"hp":1000},{"name":"TestCubeRender","disname":"TestCube","type":5,"block":7,"hp":100},{"name":"TestCubeRender","disname":"TestCube","type":5,"block":7,"hp":100},{"name":"TestCubeRender","disname":"TestCube","type":5,"block":7,"hp":100},{"name":"TFT5_Galio","disname":"U2001034_TFT5_Galio_1","type":5,"block":6,"hp":1000},{"name":"TFT5_Nunu","disname":"U2000864_TFT5_Nunu_1","type":5,"block":0,"hp":1300},{"name":"TFT5_Irelia","disname":"U2000705_TFT5_Irelia_1","type":5,"block":6,"hp":750},{"name":"TFT5_Fiddlesticks","disname":"U2001067_TFT5_Fiddlesticks_1","type":5,"block":7,"hp":800},{"name":"TFT5_Ivern","disname":"U2001039_TFT5_Ivern_1","type":5,"block":0,"hp":950}]}</t>
  </si>
  <si>
    <t>"block":0,"hp":1300</t>
  </si>
  <si>
    <t>{"success":true,"code":200,"msg":"鎴愬姛","data":[{"isme":true,"zt":5,"fit":0,"name":"TFTChampion","disname":"AlphaChess","type":3,"block":2,"hp":73},{"fit":2,"name":"TFTChampion","disname":"Etenlly涓禠ife","type":3,"block":7,"hp":40},{"fit":1,"name":"TFTChampion","disname":"yxw璧涚兢821176636","type":3,"block":8,"hp":0},{"fit":1,"name":"TFTChampion","disname":"闅捐繃鐨勫垢绂?,"type":3,"block":5,"hp":57},{"fit":2,"name":"TFTChampion","disname":"濞滅編鏄潯缇庝汉楸?,"type":3,"block":1,"hp":80},{"fit":2,"name":"TFTChampion","disname":"Blade9","type":3,"block":0,"hp":61},{"fit":2,"name":"TFTChampion","disname":"妯辩拑娴嗘灉","type":3,"block":3,"hp":59},{"fit":1,"name":"TFTChampion","disname":"涓惰鎴戝噳蹇竴浼氬効","type":3,"block":6,"hp":92},{"name":"TFT5_Gragas","disname":"U2000331_TFT5_Gragas_1","type":5,"block":7,"hp":750},{"name":"TFT5_Senna","disname":"U2000365_TFT5_Senna_1","type":5,"block":6,"hp":500},{"name":"TFT5_Senna","disname":"U2000382_TFT5_Senna_1","type":5,"block":1,"hp":500},{"name":"TFT5_Olaf","disname":"U2000403_TFT5_Olaf_2","type":5,"block":1,"hp":650},{"name":"TFT5_Sejuani","disname":"U2000603_TFT5_Sejuani_3","type":5,"block":7,"hp":750},{"name":"TFT5_Tristana","disname":"U2000722_TFT5_Tristana_1","type":5,"block":5,"hp":990},{"name":"TFT5_Olaf","disname":"U2000419_TFT5_Olaf_2","type":5,"block":1,"hp":650},{"name":"TFT5_Vladimir","disname":"U2000207_TFT5_Vladimir_12","type":5,"block":2,"hp":1170},{"name":"TFT5_MissFortune","disname":"U2000921_TFT5_MissFortune_1","type":5,"block":6,"hp":700},{"name":"TFT5_Yasuo","disname":"U2000914_TFT5_Yasuo_1","type":5,"block":7,"hp":800},{"name":"TFT5_Tristana","disname":"U2000729_TFT5_Tristana_1","type":5,"block":5,"hp":550},{"name":"TFT5_Varus","disname":"U2000470_TFT5_Varus_1","type":5,"block":2,"hp":600},{"name":"TFT5_Lucian","disname":"U2000980_TFT5_Lucian_1","type":5,"block":6,"hp":800},{"name":"TFT5_Rakan","disname":"U2000810_TFT5_Rakan_4","type":5,"block":1,"hp":800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FT5_Tristana","disname":"U2000725_TFT5_Tristana_1","type":5,"block":5,"hp":550},{"name":"TFT5_Tristana","disname":"U2000727_TFT5_Tristana_1","type":5,"block":6,"hp":550},{"name":"TFT5_Nunu","disname":"U2000866_TFT5_Nunu_1","type":5,"block":7,"hp":900},{"name":"TFT5_Poppy","disname":"U2000285_TFT5_Poppy_1","type":5,"block":5,"hp":600},{"name":"TFT5_Irelia","disname":"U2000707_TFT5_Irelia_1","type":5,"block":6,"hp":750},{"name":"TestCubeRender","disname":"TestCube","type":5,"block":0,"hp":100},{"name":"TestCubeRender","disname":"TestCube","type":5,"block":0,"hp":100},{"name":"TestCubeRender","disname":"TestCube","type":5,"block":0,"hp":100},{"name":"TFT5_Poppy","disname":"U2000287_TFT5_Poppy_1","type":5,"block":5,"hp":600},{"name":"TFT5_Gragas","disname":"U2000329_TFT5_Gragas_20","type":5,"block":7,"hp":1300},{"name":"TFT5_Ziggs","disname":"U2000348_TFT5_Ziggs_12","type":5,"block":7,"hp":810},{"name":"TFT5_Kalista","disname":"U2000448_TFT5_Kalista_17","type":5,"block":7,"hp":900},{"name":"TFT5_Brand","disname":"U2000535_TFT5_Brand_9","type":5,"block":7,"hp":1080},{"name":"TFT5_Sejuani","disname":"U2000595_TFT5_Sejuani_12","type":5,"block":7,"hp":1150},{"name":"TFT5_Yasuo","disname":"U2000901_TFT5_Yasuo_11","type":5,"block":7,"hp":800},{"name":"TFT5_Fiddlesticks","disname":"U2001067_TFT5_Fiddlesticks_3","type":5,"block":7,"hp":800},{"name":"TFT5_Kled","disname":"U2000263_TFT5_Kled_14","type":5,"block":5,"hp":1296},{"name":"TFT5_Poppy","disname":"U2000298_TFT5_Poppy_17","type":5,"block":5,"hp":1080},{"name":"TFT5_Senna","disname":"U2000366_TFT5_Senna_14","type":5,"block":5,"hp":1620},{"name":"TFT5_Olaf","disname":"U2000396_TFT5_Olaf_17","type":5,"block":5,"hp":2106},{"name":"TFT5_Tristana","disname":"U2000717_TFT5_Tristana_9","type":5,"block":5,"hp":990},{"name":"TFT5_Aatrox","disname":"U2000087_TFT5_Aatrox_4","type":5,"block":2,"hp":650},{"name":"TFT5_Varus","disname":"U2000451_TFT5_Varus_5","type":5,"block":2,"hp":750},{"name":"TFT5_Syndra","disname":"U2000498_TFT5_Syndra_6","type":5,"block":2,"hp":600},{"name":"TFT5_Hecarim","disname":"U2000553_TFT5_Hecarim_16","type":5,"block":2,"hp":750},{"name":"TFT5_Sejuani","disname":"U2000604_TFT5_Sejuani_22","type":5,"block":2,"hp":1750},{"name":"TFT5_Sett","disname":"U2000677_TFT5_Sett_3","type":5,"block":2,"hp":1150},{"name":"TFT5_Yasuo","disname":"U2000917_TFT5_Yasuo_13","type":5,"block":2,"hp":800},{"name":"TFT5_Senna","disname":"U2000372_TFT5_Senna_17","type":5,"block":1,"hp":500},{"name":"TFT5_Pyke","disname":"U2000573_TFT5_Pyke_18","type":5,"block":1,"hp":1170},{"name":"TFT5_Irelia","disname":"U2000701_TFT5_Irelia_2","type":5,"block":1,"hp":1350},{"name":"TFT5_Tristana","disname":"U2000731_TFT5_Tristana_15","type":5,"block":1,"hp":990},{"name":"TFT5_Rakan","disname":"U2000825_TFT5_Rakan_18","type":5,"block":1,"hp":1440},{"name":"TFT5_MissFortune","disname":"U2000935_TFT5_MissFortune_7","type":5,"block":1,"hp":700},{"name":"TFT5_Rell","disname":"U2000996_TFT5_Rell_9","type":5,"block":1,"hp":950},{"name":"TFT5_Aatrox","disname":"U2000100_TFT5_Aatrox_24","type":5,"block":0,"hp":1320},{"name":"TFT5_Gragas","disname":"U2000309_TFT5_Gragas_8","type":5,"block":0,"hp":1750},{"name":"TFT5_Kalista","disname":"U2000440_TFT5_Kalista_20","type":5,"block":0,"hp":900},{"name":"TFT5_Brand","disname":"U2000531_TFT5_Brand_22","type":5,"block":0,"hp":1080},{"name":"TFT5_Sejuani","disname":"U2000588_TFT5_Sejuani_13","type":5,"block":0,"hp":1750},{"name":"TFT5_Nunu","disname":"U2000864_TFT5_Nunu_3","type":5,"block":0,"hp":1300},{"name":"TFT5_Ivern","disname":"U2001039_TFT5_Ivern_3","type":5,"block":0,"hp":950},{"name":"TFT5_Gragas","disname":"U2000316_TFT5_Gragas_11","type":5,"block":3,"hp":1750},{"name":"TFT5_Ziggs","disname":"U2000343_TFT5_Ziggs_6","type":5,"block":3,"hp":810},{"name":"TFT5_Kalista","disname":"U2000430_TFT5_Kalista_21","type":5,"block":3,"hp":900},{"name":"TFT5_Brand","disname":"U2000525_TFT5_Brand_14","type":5,"block":3,"hp":1080},{"name":"TFT5_Sejuani","disname":"U2000592_TFT5_Sejuani_2","type":5,"block":3,"hp":1150},{"name":"TFT5_Nunu","disname":"U2000867_TFT5_Nunu_19","type":5,"block":3,"hp":2170},{"name":"TFT5_Yasuo","disname":"U2000913_TFT5_Yasuo_14","type":5,"block":3,"hp":1440},{"name":"TFT5_Senna","disname":"U2000383_TFT5_Senna_16","type":5,"block":6,"hp":500},{"name":"TFT5_Olaf","disname":"U2000412_TFT5_Olaf_8","type":5,"block":6,"hp":650},{"name":"TFT5_Pyke","disname":"U2000580_TFT5_Pyke_21","type":5,"block":6,"hp":1170},{"name":"TFT5_Irelia","disname":"U2000705_TFT5_Irelia_2","type":5,"block":6,"hp":750},{"name":"TFT5_MissFortune","disname":"U2000923_TFT5_MissFortune_7","type":5,"block":6,"hp":850},{"name":"TFT5_Lucian","disname":"U2000981_TFT5_Lucian_8","type":5,"block":6,"hp":1800},{"name":"TFT5_Galio","disname":"U2001034_TFT5_Galio_2","type":5,"block":6,"hp":1000}]}</t>
  </si>
  <si>
    <t>"block":3,"hp":2170</t>
  </si>
  <si>
    <t>{"success":true,"code":200,"msg":"鎴愬姛","data":[{"isme":true,"zt":5,"fit":0,"name":"TFTChampion","disname":"AlphaChess","type":3,"block":2,"hp":62},{"fit":3,"name":"TFTChampion","disname":"Etenlly涓禠ife","type":3,"block":7,"hp":40},{"fit":1,"name":"TFTChampion","disname":"yxw璧涚兢821176636","type":3,"block":8,"hp":0},{"fit":1,"name":"TFTChampion","disname":"闅捐繃鐨勫垢绂?,"type":3,"block":5,"hp":43},{"fit":2,"name":"TFTChampion","disname":"濞滅編鏄潯缇庝汉楸?,"type":3,"block":1,"hp":80},{"fit":2,"name":"TFTChampion","disname":"Blade9","type":3,"block":0,"hp":50},{"fit":2,"name":"TFTChampion","disname":"妯辩拑娴嗘灉","type":3,"block":3,"hp":59},{"fit":1,"name":"TFTChampion","disname":"涓惰鎴戝噳蹇竴浼氬効","type":3,"block":6,"hp":92},{"name":"TFT5_Senna","disname":"U2000365_TFT5_Senna_1","type":5,"block":6,"hp":500},{"name":"TFT5_Senna","disname":"U2000382_TFT5_Senna_1","type":5,"block":1,"hp":500},{"name":"TFT5_Olaf","disname":"U2000403_TFT5_Olaf_2","type":5,"block":1,"hp":650},{"name":"TFT5_Tristana","disname":"U2000722_TFT5_Tristana_1","type":5,"block":5,"hp":990},{"name":"TFT5_Olaf","disname":"U2000419_TFT5_Olaf_2","type":5,"block":1,"hp":650},{"name":"TFT5_MissFortune","disname":"U2000921_TFT5_MissFortune_1","type":5,"block":6,"hp":700},{"name":"TFT5_Tristana","disname":"U2000729_TFT5_Tristana_1","type":5,"block":5,"hp":550},{"name":"TFT5_Varus","disname":"U2000470_TFT5_Varus_1","type":5,"block":2,"hp":600},{"name":"TFT5_Lucian","disname":"U2000980_TFT5_Lucian_1","type":5,"block":6,"hp":800},{"name":"TFT5_Rakan","disname":"U2000810_TFT5_Rakan_4","type":5,"block":1,"hp":800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FT5_Tristana","disname":"U2000725_TFT5_Tristana_1","type":5,"block":5,"hp":550},{"name":"TFT5_Tristana","disname":"U2000727_TFT5_Tristana_1","type":5,"block":6,"hp":550},{"name":"TFT5_Nunu","disname":"U2000866_TFT5_Nunu_1","type":5,"block":7,"hp":900},{"name":"TFT5_Poppy","disname":"U2000285_TFT5_Poppy_1","type":5,"block":5,"hp":1080},{"name":"TFT5_Irelia","disname":"U2000707_TFT5_Irelia_1","type":5,"block":6,"hp":750},{"name":"TestCubeRender","disname":"TestCube","type":5,"block":0,"hp":100},{"name":"TestCubeRender","disname":"TestCube","type":5,"block":0,"hp":100},{"name":"TestCubeRender","disname":"TestCube","type":5,"block":0,"hp":100},{"name":"TFT5_Ziggs","disname":"U2000348_TFT5_Ziggs_12","type":5,"block":7,"hp":810},{"name":"TFT5_Gragas","disname":"U2000309_TFT5_Gragas_8","type":5,"block":0,"hp":1350},{"name":"TFT5_Ziggs","disname":"U2000343_TFT5_Ziggs_6","type":5,"block":3,"hp":810},{"name":"TFT5_Lulu","disname":"U2000775_TFT5_Lulu_1","type":5,"block":5,"hp":650},{"name":"TFT5_Tristana","disname":"U2000724_TFT5_Tristana_1","type":5,"block":6,"hp":550},{"name":"TFT5_Nidalee","disname":"U2000895_TFT5_Nidalee_1","type":5,"block":2,"hp":800},{"name":"TFT5_Kennen","disname":"U2000616_TFT5_Kennen_18","type":5,"block":5,"hp":600},{"name":"TFT5_Fiddlesticks","disname":"U2001064_TFT5_Fiddlesticks_1","type":5,"block":0,"hp":800},{"name":"TFT5_Nunu","disname":"U2000875_TFT5_Nunu_1","type":5,"block":7,"hp":900},{"name":"TFT5_Kennen","disname":"U2000613_TFT5_Kennen_1","type":5,"block":5,"hp":600},{"name":"TFT5_Gragas","disname":"U2000329_TFT5_Gragas_21","type":5,"block":7,"hp":1900},{"name":"TFT5_Kalista","disname":"U2000448_TFT5_Kalista_18","type":5,"block":7,"hp":900},{"name":"TFT5_Brand","disname":"U2000535_TFT5_Brand_10","type":5,"block":7,"hp":1080},{"name":"TFT5_Sejuani","disname":"U2000595_TFT5_Sejuani_13","type":5,"block":7,"hp":1750},{"name":"TFT5_Yasuo","disname":"U2000901_TFT5_Yasuo_12","type":5,"block":7,"hp":800},{"name":"TFT5_Yasuo","disname":"U2000914_TFT5_Yasuo_2","type":5,"block":7,"hp":800},{"name":"TFT5_Fiddlesticks","disname":"U2001067_TFT5_Fiddlesticks_4","type":5,"block":7,"hp":800},{"name":"TFT5_Kled","disname":"U2000263_TFT5_Kled_16","type":5,"block":5,"hp":1296},{"name":"TFT5_Poppy","disname":"U2000298_TFT5_Poppy_19","type":5,"block":5,"hp":1080},{"name":"TFT5_Senna","disname":"U2000366_TFT5_Senna_16","type":5,"block":5,"hp":1620},{"name":"TFT5_Olaf","disname":"U2000396_TFT5_Olaf_19","type":5,"block":5,"hp":2106},{"name":"TFT5_Tristana","disname":"U2000717_TFT5_Tristana_11","type":5,"block":5,"hp":990},{"name":"TFT5_Aatrox","disname":"U2000087_TFT5_Aatrox_6","type":5,"block":2,"hp":650},{"name":"TFT5_Hecarim","disname":"U2000553_TFT5_Hecarim_18","type":5,"block":2,"hp":750},{"name":"TFT5_Sejuani","disname":"U2000604_TFT5_Sejuani_24","type":5,"block":2,"hp":1350},{"name":"TFT5_Riven","disname":"U2000753_TFT5_Riven_3","type":5,"block":2,"hp":850},{"name":"TFT5_Yasuo","disname":"U2000917_TFT5_Yasuo_15","type":5,"block":2,"hp":800},{"name":"TFT5_Rell","disname":"U2000991_TFT5_Rell_3","type":5,"block":2,"hp":950},{"name":"TFT5_Draven","disname":"U2001081_TFT5_Draven_3","type":5,"block":2,"hp":700},{"name":"TFT5_Senna","disname":"U2000372_TFT5_Senna_19","type":5,"block":1,"hp":500},{"name":"TFT5_Pyke","disname":"U2000573_TFT5_Pyke_20","type":5,"block":1,"hp":1170},{"name":"TFT5_Irelia","disname":"U2000701_TFT5_Irelia_4","type":5,"block":1,"hp":1350},{"name":"TFT5_Tristana","disname":"U2000731_TFT5_Tristana_17","type":5,"block":1,"hp":990},{"name":"TFT5_Rakan","disname":"U2000825_TFT5_Rakan_20","type":5,"block":1,"hp":1440},{"name":"TFT5_MissFortune","disname":"U2000935_TFT5_MissFortune_9","type":5,"block":1,"hp":700},{"name":"TFT5_Rell","disname":"U2000996_TFT5_Rell_11","type":5,"block":1,"hp":950},{"name":"TFT5_Aatrox","disname":"U2000100_TFT5_Aatrox_25","type":5,"block":0,"hp":1320},{"name":"TFT5_Kalista","disname":"U2000440_TFT5_Kalista_21","type":5,"block":0,"hp":900},{"name":"TFT5_Brand","disname":"U2000531_TFT5_Brand_23","type":5,"block":0,"hp":1080},{"name":"TFT5_Sejuani","disname":"U2000588_TFT5_Sejuani_14","type":5,"block":0,"hp":1750},{"name":"TFT5_Nunu","disname":"U2000864_TFT5_Nunu_4","type":5,"block":0,"hp":1450},{"name":"TFT5_Ivern","disname":"U2001039_TFT5_Ivern_4","type":5,"block":0,"hp":950},{"name":"TFT5_Fiddlesticks","disname":"U2001071_TFT5_Fiddlesticks_2","type":5,"block":0,"hp":800},{"name":"TFT5_Gragas","disname":"U2000316_TFT5_Gragas_12","type":5,"block":3,"hp":1750},{"name":"TFT5_Kalista","disname":"U2000430_TFT5_Kalista_22","type":5,"block":3,"hp":900},{"name":"TFT5_Syndra","disname":"U2000495_TFT5_Syndra_2","type":5,"block":3,"hp":600},{"name":"TFT5_Brand","disname":"U2000525_TFT5_Brand_15","type":5,"block":3,"hp":1080},{"name":"TFT5_Sejuani","disname":"U2000592_TFT5_Sejuani_3","type":5,"block":3,"hp":1150},{"name":"TFT5_Nunu","disname":"U2000867_TFT5_Nunu_20","type":5,"block":3,"hp":2320},{"name":"TFT5_Yasuo","disname":"U2000913_TFT5_Yasuo_15","type":5,"block":3,"hp":1440},{"name":"TFT5_Senna","disname":"U2000383_TFT5_Senna_17","type":5,"block":6,"hp":650},{"name":"TFT5_Pyke","disname":"U2000580_TFT5_Pyke_22","type":5,"block":6,"hp":1170},{"name":"TFT5_Irelia","disname":"U2000705_TFT5_Irelia_3","type":5,"block":6,"hp":750},{"name":"TFT5_Rakan","disname":"U2000820_TFT5_Rakan_2","type":5,"block":6,"hp":800},{"name":"TFT5_MissFortune","disname":"U2000923_TFT5_MissFortune_8","type":5,"block":6,"hp":850},{"name":"TFT5_Lucian","disname":"U2000981_TFT5_Lucian_9","type":5,"block":6,"hp":1800},{"name":"TFT5_Galio","disname":"U2001034_TFT5_Galio_3","type":5,"block":6,"hp":1000}]}</t>
  </si>
  <si>
    <t>"block":0,"hp":1450</t>
  </si>
  <si>
    <t>"block":3,"hp":2320</t>
  </si>
  <si>
    <t>{"success":true,"code":200,"msg":"鎴愬姛","data":[{"isme":true,"zt":5,"fit":0,"name":"TFTChampion","disname":"AlphaChess","type":3,"block":2,"hp":49},{"fit":3,"name":"TFTChampion","disname":"Etenlly涓禠ife","type":3,"block":7,"hp":35},{"fit":1,"name":"TFTChampion","disname":"yxw璧涚兢821176636","type":3,"block":8,"hp":0},{"fit":1,"name":"TFTChampion","disname":"闅捐繃鐨勫垢绂?,"type":3,"block":5,"hp":34},{"fit":2,"name":"TFTChampion","disname":"濞滅編鏄潯缇庝汉楸?,"type":3,"block":1,"hp":66},{"fit":2,"name":"TFTChampion","disname":"Blade9","type":3,"block":0,"hp":50},{"fit":3,"name":"TFTChampion","disname":"妯辩拑娴嗘灉","type":3,"block":3,"hp":59},{"fit":1,"name":"TFTChampion","disname":"涓惰鎴戝噳蹇竴浼氬効","type":3,"block":6,"hp":92},{"name":"TFT5_Senna","disname":"U2000382_TFT5_Senna_1","type":5,"block":1,"hp":500},{"name":"TFT5_Olaf","disname":"U2000403_TFT5_Olaf_2","type":5,"block":1,"hp":650},{"name":"TFT5_Tristana","disname":"U2000722_TFT5_Tristana_1","type":5,"block":5,"hp":990},{"name":"TFT5_Olaf","disname":"U2000419_TFT5_Olaf_2","type":5,"block":1,"hp":650},{"name":"TFT5_Tristana","disname":"U2000729_TFT5_Tristana_1","type":5,"block":5,"hp":550},{"name":"TFT5_Varus","disname":"U2000470_TFT5_Varus_1","type":5,"block":2,"hp":1080},{"name":"TFT5_Lucian","disname":"U2000980_TFT5_Lucian_1","type":5,"block":6,"hp":800},{"name":"TFT5_Rakan","disname":"U2000810_TFT5_Rakan_4","type":5,"block":1,"hp":800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FT5_Tristana","disname":"U2000725_TFT5_Tristana_1","type":5,"block":5,"hp":550},{"name":"TFT5_Tristana","disname":"U2000727_TFT5_Tristana_1","type":5,"block":6,"hp":550},{"name":"TFT5_Poppy","disname":"U2000285_TFT5_Poppy_1","type":5,"block":5,"hp":1080},{"name":"TFT5_Irelia","disname":"U2000707_TFT5_Irelia_1","type":5,"block":6,"hp":750},{"name":"TestCubeRender","disname":"TestCube","type":5,"block":0,"hp":100},{"name":"TestCubeRender","disname":"TestCube","type":5,"block":0,"hp":100},{"name":"TFT5_Ziggs","disname":"U2000348_TFT5_Ziggs_12","type":5,"block":7,"hp":810},{"name":"TFT5_Gragas","disname":"U2000309_TFT5_Gragas_8","type":5,"block":0,"hp":1350},{"name":"TFT5_Ziggs","disname":"U2000343_TFT5_Ziggs_6","type":5,"block":3,"hp":810},{"name":"TFT5_Lulu","disname":"U2000775_TFT5_Lulu_1","type":5,"block":5,"hp":650},{"name":"TFT5_Tristana","disname":"U2000724_TFT5_Tristana_1","type":5,"block":6,"hp":550},{"name":"TFT5_Kennen","disname":"U2000616_TFT5_Kennen_18","type":5,"block":5,"hp":600},{"name":"TFT5_Kennen","disname":"U2000613_TFT5_Kennen_1","type":5,"block":5,"hp":600},{"name":"TFT5_Yasuo","disname":"U2000914_TFT5_Yasuo_2","type":5,"block":7,"hp":800},{"name":"TFT5_Nunu","disname":"U2000869_TFT5_Nunu_1","type":5,"block":7,"hp":1620},{"name":"TFT5_Lulu","disname":"U2000783_TFT5_Lulu_1","type":5,"block":5,"hp":650},{"name":"TFT5_Sejuani","disname":"U2000583_TFT5_Sejuani_1","type":5,"block":3,"hp":750},{"name":"TFT5_MissFortune","disname":"U2000929_TFT5_MissFortune_1","type":5,"block":6,"hp":700},{"name":"TFT5_Rell","disname":"U2000999_TFT5_Rell_1","type":5,"block":2,"hp":950},{"name":"TFT5_Galio","disname":"U2001027_TFT5_Galio_1","type":5,"block":2,"hp":1000},{"name":"TFT5_Yasuo","disname":"U2000912_TFT5_Yasuo_1","type":5,"block":2,"hp":800},{"name":"TFT5_Riven","disname":"U2000738_TFT5_Riven_3","type":5,"block":2,"hp":850},{"name":"TFT5_Varus","disname":"U2000452_TFT5_Varus_1","type":5,"block":2,"hp":600},{"name":"TFT5_Jax","disname":"U2000961_TFT5_Jax_1","type":5,"block":2,"hp":1000},{"name":"TFT5_Riven","disname":"U2000742_TFT5_Riven_6","type":5,"block":2,"hp":850},{"name":"TFT5_Volibear","disname":"U2001163_TFT5_Volibear_1","type":5,"block":2,"hp":1100},{"name":"TFT5_Gragas","disname":"U2000329_TFT5_Gragas_22","type":5,"block":7,"hp":1900},{"name":"TFT5_Kalista","disname":"U2000448_TFT5_Kalista_19","type":5,"block":7,"hp":900},{"name":"TFT5_Brand","disname":"U2000535_TFT5_Brand_11","type":5,"block":7,"hp":1080},{"name":"TFT5_Sejuani","disname":"U2000595_TFT5_Sejuani_14","type":5,"block":7,"hp":1750},{"name":"TFT5_Nunu","disname":"U2000880_TFT5_Nunu_2","type":5,"block":7,"hp":1450},{"name":"TFT5_Yasuo","disname":"U2000901_TFT5_Yasuo_13","type":5,"block":7,"hp":800},{"name":"TFT5_Fiddlesticks","disname":"U2001067_TFT5_Fiddlesticks_5","type":5,"block":7,"hp":800},{"name":"TFT5_Kled","disname":"U2000263_TFT5_Kled_17","type":5,"block":5,"hp":1296},{"name":"TFT5_Poppy","disname":"U2000298_TFT5_Poppy_20","type":5,"block":5,"hp":1080},{"name":"TFT5_Senna","disname":"U2000366_TFT5_Senna_17","type":5,"block":5,"hp":1620},{"name":"TFT5_Olaf","disname":"U2000396_TFT5_Olaf_20","type":5,"block":5,"hp":2106},{"name":"TFT5_Tristana","disname":"U2000717_TFT5_Tristana_12","type":5,"block":5,"hp":990},{"name":"TFT5_Aatrox","disname":"U2000087_TFT5_Aatrox_7","type":5,"block":2,"hp":650},{"name":"TFT5_Hecarim","disname":"U2000553_TFT5_Hecarim_19","type":5,"block":2,"hp":750},{"name":"TFT5_Sejuani","disname":"U2000604_TFT5_Sejuani_25","type":5,"block":2,"hp":1350},{"name":"TFT5_Riven","disname":"U2000753_TFT5_Riven_4","type":5,"block":2,"hp":1530},{"name":"TFT5_Yasuo","disname":"U2000917_TFT5_Yasuo_16","type":5,"block":2,"hp":800},{"name":"TFT5_Rell","disname":"U2000991_TFT5_Rell_4","type":5,"block":2,"hp":950},{"name":"TFT5_Draven","disname":"U2001081_TFT5_Draven_4","type":5,"block":2,"hp":700},{"name":"TFT5_Senna","disname":"U2000372_TFT5_Senna_20","type":5,"block":1,"hp":500},{"name":"TFT5_Pyke","disname":"U2000573_TFT5_Pyke_21","type":5,"block":1,"hp":1170},{"name":"TFT5_Irelia","disname":"U2000701_TFT5_Irelia_5","type":5,"block":1,"hp":1350},{"name":"TFT5_Tristana","disname":"U2000731_TFT5_Tristana_18","type":5,"block":1,"hp":990},{"name":"TFT5_Rakan","disname":"U2000825_TFT5_Rakan_21","type":5,"block":1,"hp":1440},{"name":"TFT5_MissFortune","disname":"U2000935_TFT5_MissFortune_10","type":5,"block":1,"hp":700},{"name":"TFT5_Rell","disname":"U2000996_TFT5_Rell_12","type":5,"block":1,"hp":950},{"name":"TFT5_Aatrox","disname":"U2000100_TFT5_Aatrox_27","type":5,"block":0,"hp":1320},{"name":"TFT5_Kalista","disname":"U2000440_TFT5_Kalista_23","type":5,"block":0,"hp":900},{"name":"TFT5_Brand","disname":"U2000531_TFT5_Brand_25","type":5,"block":0,"hp":1080},{"name":"TFT5_Sejuani","disname":"U2000588_TFT5_Sejuani_16","type":5,"block":0,"hp":1750},{"name":"TFT5_Nunu","disname":"U2000864_TFT5_Nunu_6","type":5,"block":0,"hp":1450},{"name":"TFT5_Ivern","disname":"U2001039_TFT5_Ivern_6","type":5,"block":0,"hp":1710},{"name":"TFT5_Fiddlesticks","disname":"U2001071_TFT5_Fiddlesticks_4","type":5,"block":0,"hp":1440},{"name":"TFT5_Gragas","disname":"U2000316_TFT5_Gragas_14","type":5,"block":3,"hp":1750},{"name":"TFT5_Kalista","disname":"U2000430_TFT5_Kalista_24","type":5,"block":3,"hp":900},{"name":"TFT5_Syndra","disname":"U2000495_TFT5_Syndra_4","type":5,"block":3,"hp":600},{"name":"TFT5_Brand","disname":"U2000525_TFT5_Brand_17","type":5,"block":3,"hp":1080},{"name":"TFT5_Sejuani","disname":"U2000592_TFT5_Sejuani_5","type":5,"block":3,"hp":1150},{"name":"TFT5_Nunu","disname":"U2000867_TFT5_Nunu_22","type":5,"block":3,"hp":2320},{"name":"TFT5_Yasuo","disname":"U2000913_TFT5_Yasuo_17","type":5,"block":3,"hp":1440},{"name":"TFT5_Senna","disname":"U2000383_TFT5_Senna_19","type":5,"block":6,"hp":1050},{"name":"TFT5_Pyke","disname":"U2000580_TFT5_Pyke_24","type":5,"block":6,"hp":1170},{"name":"TFT5_Irelia","disname":"U2000705_TFT5_Irelia_5","type":5,"block":6,"hp":750},{"name":"TFT5_Rakan","disname":"U2000820_TFT5_Rakan_4","type":5,"block":6,"hp":800},{"name":"TFT5_MissFortune","disname":"U2000923_TFT5_MissFortune_10","type":5,"block":6,"hp":1410},{"name":"TFT5_Lucian","disname":"U2000981_TFT5_Lucian_11","type":5,"block":6,"hp":1800},{"name":"TFT5_Galio","disname":"U2001034_TFT5_Galio_5","type":5,"block":6,"hp":1000},{"name":"TFT5_Aphelios","disname":"U2001051_TFT5_Aphelios_4","type":5,"block":7,"hp":650},{"name":"TFT5_Nidalee","disname":"U2000892_TFT5_Nidalee_2","type":5,"block":5,"hp":800},{"name":"TFT5_Viego","disname":"U2001088_TFT5_Viego_2","type":5,"block":2,"hp":1000},{"name":"TFT5_Nunu","disname":"U2000874_TFT5_Nunu_2","type":5,"block":1,"hp":900},{"name":"TFT5_Jax","disname":"U2000955_TFT5_Jax_2","type":5,"block":0,"hp":1150},{"name":"TFT5_Thresh","disname":"U2000669_TFT5_Thresh_2","type":5,"block":3,"hp":800},{"name":"TFT5_Heimerdinger","disname":"U2001108_TFT5_Heimerdinger_2","type":5,"block":6,"hp":800}]}</t>
  </si>
  <si>
    <t>"block":7,"hp":1450</t>
  </si>
  <si>
    <t>{"success":true,"code":200,"msg":"鎴愬姛","data":[{"isme":true,"zt":5,"fit":0,"name":"TFTChampion","disname":"AlphaChess","type":3,"block":2,"hp":49},{"fit":3,"name":"TFTChampion","disname":"Etenlly涓禠ife","type":3,"block":7,"hp":35},{"fit":1,"name":"TFTChampion","disname":"yxw璧涚兢821176636","type":3,"block":8,"hp":0},{"fit":1,"name":"TFTChampion","disname":"闅捐繃鐨勫垢绂?,"type":3,"block":5,"hp":34},{"fit":2,"name":"TFTChampion","disname":"濞滅編鏄潯缇庝汉楸?,"type":3,"block":1,"hp":66},{"fit":2,"name":"TFTChampion","disname":"Blade9","type":3,"block":0,"hp":50},{"fit":3,"name":"TFTChampion","disname":"妯辩拑娴嗘灉","type":3,"block":3,"hp":59},{"fit":1,"name":"TFTChampion","disname":"涓惰鎴戝噳蹇竴浼氬効","type":3,"block":6,"hp":92},{"name":"TFT5_Senna","disname":"U2000382_TFT5_Senna_1","type":5,"block":1,"hp":500},{"name":"TFT5_Olaf","disname":"U2000403_TFT5_Olaf_2","type":5,"block":1,"hp":650},{"name":"TFT5_Tristana","disname":"U2000722_TFT5_Tristana_1","type":5,"block":5,"hp":990},{"name":"TFT5_Olaf","disname":"U2000419_TFT5_Olaf_2","type":5,"block":1,"hp":650},{"name":"TFT5_Tristana","disname":"U2000729_TFT5_Tristana_1","type":5,"block":5,"hp":550},{"name":"TFT5_Varus","disname":"U2000470_TFT5_Varus_1","type":5,"block":2,"hp":1080},{"name":"TFT5_Lucian","disname":"U2000980_TFT5_Lucian_1","type":5,"block":6,"hp":800},{"name":"TFT5_Rakan","disname":"U2000810_TFT5_Rakan_4","type":5,"block":1,"hp":800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estCubeRender","disname":"TestCube","type":5,"block":7,"hp":100},{"name":"TFT5_Tristana","disname":"U2000725_TFT5_Tristana_1","type":5,"block":5,"hp":550},{"name":"TFT5_Poppy","disname":"U2000285_TFT5_Poppy_1","type":5,"block":5,"hp":1080},{"name":"TestCubeRender","disname":"TestCube","type":5,"block":0,"hp":100},{"name":"TestCubeRender","disname":"TestCube","type":5,"block":0,"hp":100},{"name":"TFT5_Ziggs","disname":"U2000348_TFT5_Ziggs_12","type":5,"block":7,"hp":810},{"name":"TFT5_Gragas","disname":"U2000309_TFT5_Gragas_8","type":5,"block":0,"hp":1350},{"name":"TFT5_Ziggs","disname":"U2000343_TFT5_Ziggs_6","type":5,"block":3,"hp":810},{"name":"TFT5_Lulu","disname":"U2000775_TFT5_Lulu_1","type":5,"block":5,"hp":650},{"name":"TFT5_Tristana","disname":"U2000724_TFT5_Tristana_1","type":5,"block":6,"hp":990},{"name":"TFT5_Kennen","disname":"U2000616_TFT5_Kennen_18","type":5,"block":5,"hp":1080},{"name":"TFT5_Yasuo","disname":"U2000914_TFT5_Yasuo_2","type":5,"block":7,"hp":800},{"name":"TFT5_Nunu","disname":"U2000869_TFT5_Nunu_1","type":5,"block":7,"hp":1620},{"name":"TFT5_Lulu","disname":"U2000783_TFT5_Lulu_1","type":5,"block":5,"hp":650},{"name":"TFT5_Sejuani","disname":"U2000583_TFT5_Sejuani_1","type":5,"block":3,"hp":750},{"name":"TFT5_MissFortune","disname":"U2000929_TFT5_MissFortune_1","type":5,"block":6,"hp":700},{"name":"TFT5_Rell","disname":"U2000999_TFT5_Rell_1","type":5,"block":2,"hp":950},{"name":"TFT5_Galio","disname":"U2001027_TFT5_Galio_1","type":5,"block":2,"hp":1000},{"name":"TFT5_Yasuo","disname":"U2000912_TFT5_Yasuo_1","type":5,"block":2,"hp":800},{"name":"TFT5_Riven","disname":"U2000738_TFT5_Riven_3","type":5,"block":2,"hp":850},{"name":"TFT5_Varus","disname":"U2000452_TFT5_Varus_1","type":5,"block":2,"hp":600},{"name":"TFT5_Jax","disname":"U2000961_TFT5_Jax_1","type":5,"block":2,"hp":1000},{"name":"TFT5_Riven","disname":"U2000742_TFT5_Riven_6","type":5,"block":2,"hp":850},{"name":"TFT5_Volibear","disname":"U2001163_TFT5_Volibear_1","type":5,"block":2,"hp":1100},{"name":"TFT5_Gragas","disname":"U2000329_TFT5_Gragas_22","type":5,"block":7,"hp":1900},{"name":"TFT5_Kalista","disname":"U2000448_TFT5_Kalista_19","type":5,"block":7,"hp":900},{"name":"TFT5_Brand","disname":"U2000535_TFT5_Brand_11","type":5,"block":7,"hp":1080},{"name":"TFT5_Sejuani","disname":"U2000595_TFT5_Sejuani_14","type":5,"block":7,"hp":1750},{"name":"TFT5_Nunu","disname":"U2000880_TFT5_Nunu_2","type":5,"block":7,"hp":1450},{"name":"TFT5_Yasuo","disname":"U2000901_TFT5_Yasuo_13","type":5,"block":7,"hp":800},{"name":"TFT5_Fiddlesticks","disname":"U2001067_TFT5_Fiddlesticks_5","type":5,"block":7,"hp":800},{"name":"TFT5_Kled","disname":"U2000263_TFT5_Kled_17","type":5,"block":5,"hp":1296},{"name":"TFT5_Poppy","disname":"U2000298_TFT5_Poppy_20","type":5,"block":5,"hp":1080},{"name":"TFT5_Senna","disname":"U2000366_TFT5_Senna_17","type":5,"block":5,"hp":1620},{"name":"TFT5_Olaf","disname":"U2000396_TFT5_Olaf_20","type":5,"block":5,"hp":2106},{"name":"TFT5_Tristana","disname":"U2000717_TFT5_Tristana_12","type":5,"block":5,"hp":990},{"name":"TFT5_Aatrox","disname":"U2000087_TFT5_Aatrox_7","type":5,"block":2,"hp":650},{"name":"TFT5_Hecarim","disname":"U2000553_TFT5_Hecarim_19","type":5,"block":2,"hp":750},{"name":"TFT5_Sejuani","disname":"U2000604_TFT5_Sejuani_25","type":5,"block":2,"hp":1350},{"name":"TFT5_Riven","disname":"U2000753_TFT5_Riven_4","type":5,"block":2,"hp":1530},{"name":"TFT5_Yasuo","disname":"U2000917_TFT5_Yasuo_16","type":5,"block":2,"hp":800},{"name":"TFT5_Rell","disname":"U2000991_TFT5_Rell_4","type":5,"block":2,"hp":950},{"name":"TFT5_Draven","disname":"U2001081_TFT5_Draven_4","type":5,"block":2,"hp":700},{"name":"TFT5_Senna","disname":"U2000372_TFT5_Senna_20","type":5,"block":1,"hp":500},{"name":"TFT5_Pyke","disname":"U2000573_TFT5_Pyke_21","type":5,"block":1,"hp":1170},{"name":"TFT5_Irelia","disname":"U2000701_TFT5_Irelia_5","type":5,"block":1,"hp":1350},{"name":"TFT5_Tristana","disname":"U2000731_TFT5_Tristana_18","type":5,"block":1,"hp":990},{"name":"TFT5_Rakan","disname":"U2000825_TFT5_Rakan_21","type":5,"block":1,"hp":1440},{"name":"TFT5_MissFortune","disname":"U2000935_TFT5_MissFortune_10","type":5,"block":1,"hp":700},{"name":"TFT5_Rell","disname":"U2000996_TFT5_Rell_12","type":5,"block":1,"hp":950},{"name":"TFT5_Aatrox","disname":"U2000100_TFT5_Aatrox_27","type":5,"block":0,"hp":1320},{"name":"TFT5_Kalista","disname":"U2000440_TFT5_Kalista_23","type":5,"block":0,"hp":900},{"name":"TFT5_Brand","disname":"U2000531_TFT5_Brand_25","type":5,"block":0,"hp":1080},{"name":"TFT5_Sejuani","disname":"U2000588_TFT5_Sejuani_16","type":5,"block":0,"hp":1750},{"name":"TFT5_Nunu","disname":"U2000864_TFT5_Nunu_6","type":5,"block":0,"hp":1450},{"name":"TFT5_Ivern","disname":"U2001039_TFT5_Ivern_6","type":5,"block":0,"hp":1710},{"name":"TFT5_Fiddlesticks","disname":"U2001071_TFT5_Fiddlesticks_4","type":5,"block":0,"hp":1440},{"name":"TFT5_Gragas","disname":"U2000316_TFT5_Gragas_14","type":5,"block":3,"hp":1750},{"name":"TFT5_Kalista","disname":"U2000430_TFT5_Kalista_24","type":5,"block":3,"hp":900},{"name":"TFT5_Syndra","disname":"U2000495_TFT5_Syndra_4","type":5,"block":3,"hp":600},{"name":"TFT5_Brand","disname":"U2000525_TFT5_Brand_17","type":5,"block":3,"hp":1080},{"name":"TFT5_Sejuani","disname":"U2000592_TFT5_Sejuani_5","type":5,"block":3,"hp":1150},{"name":"TFT5_Nunu","disname":"U2000867_TFT5_Nunu_22","type":5,"block":3,"hp":2320},{"name":"TFT5_Yasuo","disname":"U2000913_TFT5_Yasuo_17","type":5,"block":3,"hp":1440},{"name":"TFT5_Senna","disname":"U2000383_TFT5_Senna_19","type":5,"block":6,"hp":1050},{"name":"TFT5_Pyke","disname":"U2000580_TFT5_Pyke_24","type":5,"block":6,"hp":1170},{"name":"TFT5_Irelia","disname":"U2000705_TFT5_Irelia_5","type":5,"block":6,"hp":1350},{"name":"TFT5_Rakan","disname":"U2000820_TFT5_Rakan_4","type":5,"block":6,"hp":800},{"name":"TFT5_MissFortune","disname":"U2000923_TFT5_MissFortune_10","type":5,"block":6,"hp":1410},{"name":"TFT5_Lucian","disname":"U2000981_TFT5_Lucian_11","type":5,"block":6,"hp":1800},{"name":"TFT5_Galio","disname":"U2001034_TFT5_Galio_5","type":5,"block":6,"hp":1000},{"name":"TFT5_Viego","disname":"U2001088_TFT5_Viego_2","type":5,"block":2,"hp":1000},{"name":"TFT5_Galio","disname":"U2001030_TFT5_Galio_1","type":5,"block":6,"hp":1000},{"name":"TFT5_Kennen","disname":"U2000606_TFT5_Kennen_1","type":5,"block":5,"hp":600},{"name":"TFT5_Lucian","disname":"U2000982_TFT5_Lucian_1","type":5,"block":1,"hp":800},{"name":"TFT5_MissFortune","disname":"U2000918_TFT5_MissFortune_1","type":5,"block":1,"hp":700},{"name":"TFT5_Pyke","disname":"U2000563_TFT5_Pyke_1","type":5,"block":6,"hp":650},{"name":"TFT5_Olaf","disname":"U2000409_TFT5_Olaf_1","type":5,"block":6,"hp":650},{"name":"TFT5_Irelia","disname":"U2000710_TFT5_Irelia_1","type":5,"block":6,"hp":750}]}</t>
  </si>
  <si>
    <t>{"success":true,"code":200,"msg":"鎴愬姛","data":[{"isme":true,"zt":5,"fit":0,"name":"TFTChampion","disname":"AlphaChess","type":3,"block":2,"hp":26},{"fit":3,"name":"TFTChampion","disname":"Etenlly涓禠ife","type":3,"block":7,"hp":21},{"fit":1,"name":"TFTChampion","disname":"yxw璧涚兢821176636","type":3,"block":8,"hp":0},{"fit":2,"name":"TFTChampion","disname":"闅捐繃鐨勫垢绂?,"type":3,"block":5,"hp":23},{"fit":2,"name":"TFTChampion","disname":"濞滅編鏄潯缇庝汉楸?,"type":3,"block":1,"hp":66},{"fit":2,"name":"TFTChampion","disname":"Blade9","type":3,"block":0,"hp":46},{"fit":3,"name":"TFTChampion","disname":"妯辩拑娴嗘灉","type":3,"block":3,"hp":46},{"fit":2,"name":"TFTChampion","disname":"涓惰鎴戝噳蹇竴浼氬効","type":3,"block":6,"hp":92},{"name":"TFT5_Senna","disname":"U2000382_TFT5_Senna_1","type":5,"block":1,"hp":500},{"name":"TFT5_Olaf","disname":"U2000403_TFT5_Olaf_2","type":5,"block":1,"hp":650},{"name":"TFT5_Tristana","disname":"U2000722_TFT5_Tristana_1","type":5,"block":5,"hp":990},{"name":"TFT5_Tristana","disname":"U2000729_TFT5_Tristana_1","type":5,"block":5,"hp":550},{"name":"TFT5_Lucian","disname":"U2000980_TFT5_Lucian_1","type":5,"block":6,"hp":800},{"name":"TFT5_Rakan","disname":"U2000810_TFT5_Rakan_4","type":5,"block":1,"hp":800},{"name":"TestCubeRender","disname":"TestCube","type":5,"block":7,"hp":100},{"name":"TestCubeRender","disname":"TestCube","type":5,"block":7,"hp":100},{"name":"TestCubeRender","disname":"TestCube","type":5,"block":7,"hp":100},{"name":"TFT5_Tristana","disname":"U2000725_TFT5_Tristana_1","type":5,"block":5,"hp":550},{"name":"TFT5_Ziggs","disname":"U2000348_TFT5_Ziggs_12","type":5,"block":7,"hp":810},{"name":"TFT5_Gragas","disname":"U2000309_TFT5_Gragas_8","type":5,"block":0,"hp":1350},{"name":"TFT5_Ziggs","disname":"U2000343_TFT5_Ziggs_6","type":5,"block":3,"hp":810},{"name":"TFT5_Tristana","disname":"U2000724_TFT5_Tristana_1","type":5,"block":6,"hp":990},{"name":"TFT5_Kennen","disname":"U2000616_TFT5_Kennen_18","type":5,"block":5,"hp":1080},{"name":"TFT5_Nunu","disname":"U2000869_TFT5_Nunu_1","type":5,"block":7,"hp":1620},{"name":"TFT5_Sejuani","disname":"U2000583_TFT5_Sejuani_1","type":5,"block":3,"hp":750},{"name":"TFT5_Galio","disname":"U2001027_TFT5_Galio_1","type":5,"block":2,"hp":1000},{"name":"TFT5_Yasuo","disname":"U2000912_TFT5_Yasuo_1","type":5,"block":2,"hp":800},{"name":"TFT5_Riven","disname":"U2000738_TFT5_Riven_3","type":5,"block":2,"hp":1530},{"name":"TFT5_Varus","disname":"U2000452_TFT5_Varus_1","type":5,"block":2,"hp":600},{"name":"TFT5_Jax","disname":"U2000961_TFT5_Jax_1","type":5,"block":2,"hp":1000},{"name":"TFT5_Volibear","disname":"U2001163_TFT5_Volibear_1","type":5,"block":2,"hp":1100},{"name":"TFT5_Galio","disname":"U2001030_TFT5_Galio_1","type":5,"block":6,"hp":1000},{"name":"TFT5_MissFortune","disname":"U2000918_TFT5_MissFortune_1","type":5,"block":1,"hp":700},{"name":"TFT5_Irelia","disname":"U2000710_TFT5_Irelia_1","type":5,"block":6,"hp":750},{"name":"TFT5_Senna","disname":"U2000391_TFT5_Senna_1","type":5,"block":6,"hp":500},{"name":"TFT5_Nidalee","disname":"U2000897_TFT5_Nidalee_2","type":5,"block":2,"hp":800},{"name":"TFT5_Rakan","disname":"U2000814_TFT5_Rakan_1","type":5,"block":1,"hp":800},{"name":"TFT5_Pyke","disname":"U2000581_TFT5_Pyke_1","type":5,"block":6,"hp":1170},{"name":"TFT5_Rakan","disname":"U2000813_TFT5_Rakan_1","type":5,"block":6,"hp":800},{"name":"TFT5_Riven","disname":"U2000748_TFT5_Riven_1","type":5,"block":2,"hp":850},{"name":"TFT5_Gragas","disname":"U2000329_TFT5_Gragas_25","type":5,"block":7,"hp":1900},{"name":"TFT5_Kalista","disname":"U2000448_TFT5_Kalista_22","type":5,"block":7,"hp":900},{"name":"TFT5_Brand","disname":"U2000535_TFT5_Brand_14","type":5,"block":7,"hp":1080},{"name":"TFT5_Sejuani","disname":"U2000595_TFT5_Sejuani_17","type":5,"block":7,"hp":1750},{"name":"TFT5_Nunu","disname":"U2000880_TFT5_Nunu_5","type":5,"block":7,"hp":1450},{"name":"TFT5_Yasuo","disname":"U2000901_TFT5_Yasuo_16","type":5,"block":7,"hp":1440},{"name":"TFT5_Fiddlesticks","disname":"U2001067_TFT5_Fiddlesticks_8","type":5,"block":7,"hp":800},{"name":"TFT5_Kled","disname":"U2000263_TFT5_Kled_20","type":5,"block":5,"hp":1296},{"name":"TFT5_Poppy","disname":"U2000298_TFT5_Poppy_23","type":5,"block":5,"hp":1944},{"name":"TFT5_Senna","disname":"U2000366_TFT5_Senna_20","type":5,"block":5,"hp":1620},{"name":"TFT5_Olaf","disname":"U2000396_TFT5_Olaf_23","type":5,"block":5,"hp":2106},{"name":"TFT5_Tristana","disname":"U2000717_TFT5_Tristana_15","type":5,"block":5,"hp":990},{"name":"TFT5_Aatrox","disname":"U2000087_TFT5_Aatrox_11","type":5,"block":2,"hp":650},{"name":"TFT5_Hecarim","disname":"U2000553_TFT5_Hecarim_23","type":5,"block":2,"hp":750},{"name":"TFT5_Sejuani","disname":"U2000604_TFT5_Sejuani_29","type":5,"block":2,"hp":1350},{"name":"TFT5_Riven","disname":"U2000753_TFT5_Riven_8","type":5,"block":2,"hp":1530},{"name":"TFT5_Yasuo","disname":"U2000917_TFT5_Yasuo_20","type":5,"block":2,"hp":800},{"name":"TFT5_Rell","disname":"U2000991_TFT5_Rell_8","type":5,"block":2,"hp":1710},{"name":"TFT5_Draven","disname":"U2001081_TFT5_Draven_8","type":5,"block":2,"hp":850},{"name":"TFT5_Senna","disname":"U2000372_TFT5_Senna_22","type":5,"block":1,"hp":500},{"name":"TFT5_Pyke","disname":"U2000573_TFT5_Pyke_23","type":5,"block":1,"hp":1170},{"name":"TFT5_Irelia","disname":"U2000701_TFT5_Irelia_7","type":5,"block":1,"hp":1350},{"name":"TFT5_Tristana","disname":"U2000731_TFT5_Tristana_20","type":5,"block":1,"hp":990},{"name":"TFT5_Rakan","disname":"U2000825_TFT5_Rakan_23","type":5,"block":1,"hp":1440},{"name":"TFT5_MissFortune","disname":"U2000935_TFT5_MissFortune_12","type":5,"block":1,"hp":700},{"name":"TFT5_Lucian","disname":"U2000982_TFT5_Lucian_3","type":5,"block":1,"hp":800},{"name":"TFT5_Galio","disname":"U2001032_TFT5_Galio_2","type":5,"block":1,"hp":1000},{"name":"TFT5_Kalista","disname":"U2000440_TFT5_Kalista_25","type":5,"block":0,"hp":900},{"name":"TFT5_Brand","disname":"U2000531_TFT5_Brand_27","type":5,"block":0,"hp":1080},{"name":"TFT5_Sejuani","disname":"U2000588_TFT5_Sejuani_18","type":5,"block":0,"hp":1750},{"name":"TFT5_Nunu","disname":"U2000864_TFT5_Nunu_8","type":5,"block":0,"hp":2300},{"name":"TFT5_Ivern","disname":"U2001039_TFT5_Ivern_8","type":5,"block":0,"hp":1710},{"name":"TFT5_Fiddlesticks","disname":"U2001071_TFT5_Fiddlesticks_6","type":5,"block":0,"hp":1440},{"name":"TFT5_Gragas","disname":"U2000316_TFT5_Gragas_18","type":5,"block":3,"hp":1750},{"name":"TFT5_Kalista","disname":"U2000430_TFT5_Kalista_28","type":5,"block":3,"hp":900},{"name":"TFT5_Syndra","disname":"U2000495_TFT5_Syndra_8","type":5,"block":3,"hp":600},{"name":"TFT5_Brand","disname":"U2000525_TFT5_Brand_21","type":5,"block":3,"hp":1080},{"name":"TFT5_Sejuani","disname":"U2000592_TFT5_Sejuani_9","type":5,"block":3,"hp":1150},{"name":"TFT5_Nunu","disname":"U2000867_TFT5_Nunu_26","type":5,"block":3,"hp":2320},{"name":"TFT5_Yasuo","disname":"U2000913_TFT5_Yasuo_21","type":5,"block":3,"hp":1440},{"name":"TFT5_Senna","disname":"U2000383_TFT5_Senna_21","type":5,"block":6,"hp":1050},{"name":"TFT5_Pyke","disname":"U2000580_TFT5_Pyke_26","type":5,"block":6,"hp":1170},{"name":"TFT5_Irelia","disname":"U2000705_TFT5_Irelia_7","type":5,"block":6,"hp":1350},{"name":"TFT5_Rakan","disname":"U2000820_TFT5_Rakan_6","type":5,"block":6,"hp":800},{"name":"TFT5_MissFortune","disname":"U2000923_TFT5_MissFortune_12","type":5,"block":6,"hp":1410},{"name":"TFT5_Lucian","disname":"U2000981_TFT5_Lucian_13","type":5,"block":6,"hp":1800},{"name":"TFT5_Galio","disname":"U2001034_TFT5_Galio_7","type":5,"block":6,"hp":1000},{"name":"TFT5_MissFortune","disname":"U2000930_TFT5_MissFortune_1","type":5,"block":6,"hp":700},{"name":"TFT5_Kennen","disname":"U2000612_TFT5_Kennen_2","type":5,"block":5,"hp":1080},{"name":"TFT5_Yasuo","disname":"U2000903_TFT5_Yasuo_1","type":5,"block":0,"hp":800}]}</t>
  </si>
  <si>
    <t>"block":0,"hp":2300</t>
  </si>
  <si>
    <t>{"success":true,"code":200,"msg":"鎴愬姛","data":[{"isme":true,"zt":5,"fit":0,"name":"TFTChampion","disname":"AlphaChess","type":3,"block":2,"hp":26},{"fit":3,"name":"TFTChampion","disname":"Etenlly涓禠ife","type":3,"block":7,"hp":21},{"fit":1,"name":"TFTChampion","disname":"yxw璧涚兢821176636","type":3,"block":8,"hp":0},{"fit":2,"name":"TFTChampion","disname":"闅捐繃鐨勫垢绂?,"type":3,"block":5,"hp":23},{"fit":2,"name":"TFTChampion","disname":"濞滅編鏄潯缇庝汉楸?,"type":3,"block":1,"hp":66},{"fit":2,"name":"TFTChampion","disname":"Blade9","type":3,"block":0,"hp":46},{"fit":3,"name":"TFTChampion","disname":"妯辩拑娴嗘灉","type":3,"block":3,"hp":46},{"fit":2,"name":"TFTChampion","disname":"涓惰鎴戝噳蹇竴浼氬効","type":3,"block":6,"hp":92},{"name":"TFT5_Tristana","disname":"U2000722_TFT5_Tristana_1","type":5,"block":5,"hp":990},{"name":"TFT5_Tristana","disname":"U2000729_TFT5_Tristana_1","type":5,"block":5,"hp":550},{"name":"TFT5_Lucian","disname":"U2000980_TFT5_Lucian_1","type":5,"block":6,"hp":800},{"name":"TFT5_Tristana","disname":"U2000725_TFT5_Tristana_1","type":5,"block":5,"hp":550},{"name":"TFT5_Ziggs","disname":"U2000348_TFT5_Ziggs_12","type":5,"block":7,"hp":810},{"name":"TFT5_Gragas","disname":"U2000309_TFT5_Gragas_8","type":5,"block":0,"hp":1350},{"name":"TFT5_Ziggs","disname":"U2000343_TFT5_Ziggs_6","type":5,"block":3,"hp":810},{"name":"TFT5_Tristana","disname":"U2000724_TFT5_Tristana_1","type":5,"block":6,"hp":990},{"name":"TFT5_Kennen","disname":"U2000616_TFT5_Kennen_18","type":5,"block":5,"hp":1080},{"name":"TFT5_Nunu","disname":"U2000869_TFT5_Nunu_1","type":5,"block":7,"hp":1620},{"name":"TFT5_Sejuani","disname":"U2000583_TFT5_Sejuani_1","type":5,"block":3,"hp":750},{"name":"TFT5_Galio","disname":"U2001027_TFT5_Galio_1","type":5,"block":2,"hp":1000},{"name":"TFT5_Yasuo","disname":"U2000912_TFT5_Yasuo_1","type":5,"block":2,"hp":800},{"name":"TFT5_Riven","disname":"U2000738_TFT5_Riven_3","type":5,"block":2,"hp":1530},{"name":"TFT5_Varus","disname":"U2000452_TFT5_Varus_1","type":5,"block":2,"hp":600},{"name":"TFT5_Jax","disname":"U2000961_TFT5_Jax_1","type":5,"block":2,"hp":1000},{"name":"TFT5_Volibear","disname":"U2001163_TFT5_Volibear_1","type":5,"block":2,"hp":1100},{"name":"TFT5_Galio","disname":"U2001030_TFT5_Galio_1","type":5,"block":6,"hp":1000},{"name":"TFT5_MissFortune","disname":"U2000918_TFT5_MissFortune_1","type":5,"block":1,"hp":700},{"name":"TFT5_Irelia","disname":"U2000710_TFT5_Irelia_1","type":5,"block":6,"hp":750},{"name":"TFT5_Senna","disname":"U2000391_TFT5_Senna_1","type":5,"block":6,"hp":500},{"name":"TFT5_Nidalee","disname":"U2000897_TFT5_Nidalee_2","type":5,"block":2,"hp":800},{"name":"TFT5_Pyke","disname":"U2000581_TFT5_Pyke_1","type":5,"block":6,"hp":1170},{"name":"TFT5_Rakan","disname":"U2000813_TFT5_Rakan_1","type":5,"block":6,"hp":800},{"name":"TFT5_Riven","disname":"U2000748_TFT5_Riven_1","type":5,"block":2,"hp":850},{"name":"TFT5_MissFortune","disname":"U2000930_TFT5_MissFortune_1","type":5,"block":6,"hp":700},{"name":"TFT5_Kennen","disname":"U2000605_TFT5_Kennen_2","type":5,"block":5,"hp":1080},{"name":"TFT5_Kennen","disname":"U2000614_TFT5_Kennen_1","type":5,"block":5,"hp":600},{"name":"TFT5_Gragas","disname":"U2000329_TFT5_Gragas_26","type":5,"block":7,"hp":1900},{"name":"TFT5_Kalista","disname":"U2000448_TFT5_Kalista_23","type":5,"block":7,"hp":900},{"name":"TFT5_Brand","disname":"U2000535_TFT5_Brand_15","type":5,"block":7,"hp":1080},{"name":"TFT5_Sejuani","disname":"U2000595_TFT5_Sejuani_18","type":5,"block":7,"hp":1750},{"name":"TFT5_Nunu","disname":"U2000880_TFT5_Nunu_6","type":5,"block":7,"hp":1450},{"name":"TFT5_Yasuo","disname":"U2000901_TFT5_Yasuo_17","type":5,"block":7,"hp":1440},{"name":"TFT5_Fiddlesticks","disname":"U2001067_TFT5_Fiddlesticks_9","type":5,"block":7,"hp":800},{"name":"TFT5_Kled","disname":"U2000263_TFT5_Kled_21","type":5,"block":5,"hp":1296},{"name":"TFT5_Poppy","disname":"U2000298_TFT5_Poppy_24","type":5,"block":5,"hp":1944},{"name":"TFT5_Senna","disname":"U2000366_TFT5_Senna_21","type":5,"block":5,"hp":1620},{"name":"TFT5_Olaf","disname":"U2000396_TFT5_Olaf_24","type":5,"block":5,"hp":2106},{"name":"TFT5_Kennen","disname":"U2000612_TFT5_Kennen_3","type":5,"block":5,"hp":1080},{"name":"TFT5_Tristana","disname":"U2000717_TFT5_Tristana_16","type":5,"block":5,"hp":990},{"name":"TFT5_Aatrox","disname":"U2000087_TFT5_Aatrox_12","type":5,"block":2,"hp":650},{"name":"TFT5_Hecarim","disname":"U2000553_TFT5_Hecarim_24","type":5,"block":2,"hp":750},{"name":"TFT5_Sejuani","disname":"U2000604_TFT5_Sejuani_30","type":5,"block":2,"hp":1350},{"name":"TFT5_Riven","disname":"U2000753_TFT5_Riven_9","type":5,"block":2,"hp":1530},{"name":"TFT5_Yasuo","disname":"U2000917_TFT5_Yasuo_21","type":5,"block":2,"hp":800},{"name":"TFT5_Rell","disname":"U2000991_TFT5_Rell_9","type":5,"block":2,"hp":1710},{"name":"TFT5_Draven","disname":"U2001081_TFT5_Draven_9","type":5,"block":2,"hp":850},{"name":"TFT5_Senna","disname":"U2000372_TFT5_Senna_23","type":5,"block":1,"hp":500},{"name":"TFT5_Pyke","disname":"U2000573_TFT5_Pyke_24","type":5,"block":1,"hp":1170},{"name":"TFT5_Irelia","disname":"U2000701_TFT5_Irelia_8","type":5,"block":1,"hp":1350},{"name":"TFT5_Tristana","disname":"U2000731_TFT5_Tristana_21","type":5,"block":1,"hp":990},{"name":"TFT5_Rakan","disname":"U2000825_TFT5_Rakan_24","type":5,"block":1,"hp":1440},{"name":"TFT5_MissFortune","disname":"U2000935_TFT5_MissFortune_13","type":5,"block":1,"hp":700},{"name":"TFT5_Lucian","disname":"U2000982_TFT5_Lucian_4","type":5,"block":1,"hp":800},{"name":"TFT5_Galio","disname":"U2001032_TFT5_Galio_3","type":5,"block":1,"hp":1000},{"name":"TFT5_Kalista","disname":"U2000440_TFT5_Kalista_26","type":5,"block":0,"hp":900},{"name":"TFT5_Brand","disname":"U2000531_TFT5_Brand_28","type":5,"block":0,"hp":1080},{"name":"TFT5_Sejuani","disname":"U2000588_TFT5_Sejuani_19","type":5,"block":0,"hp":1750},{"name":"TFT5_Nunu","disname":"U2000864_TFT5_Nunu_9","type":5,"block":0,"hp":2300},{"name":"TFT5_Yasuo","disname":"U2000903_TFT5_Yasuo_2","type":5,"block":0,"hp":800},{"name":"TFT5_Ivern","disname":"U2001039_TFT5_Ivern_9","type":5,"block":0,"hp":1710},{"name":"TFT5_Fiddlesticks","disname":"U2001071_TFT5_Fiddlesticks_7","type":5,"block":0,"hp":1440},{"name":"TFT5_Gragas","disname":"U2000316_TFT5_Gragas_19","type":5,"block":3,"hp":1750},{"name":"TFT5_Kalista","disname":"U2000430_TFT5_Kalista_29","type":5,"block":3,"hp":900},{"name":"TFT5_Syndra","disname":"U2000495_TFT5_Syndra_9","type":5,"block":3,"hp":600},{"name":"TFT5_Brand","disname":"U2000525_TFT5_Brand_22","type":5,"block":3,"hp":1080},{"name":"TFT5_Sejuani","disname":"U2000592_TFT5_Sejuani_10","type":5,"block":3,"hp":1150},{"name":"TFT5_Nunu","disname":"U2000867_TFT5_Nunu_27","type":5,"block":3,"hp":2320},{"name":"TFT5_Yasuo","disname":"U2000913_TFT5_Yasuo_22","type":5,"block":3,"hp":1440},{"name":"TFT5_Senna","disname":"U2000383_TFT5_Senna_22","type":5,"block":6,"hp":1050},{"name":"TFT5_Pyke","disname":"U2000580_TFT5_Pyke_27","type":5,"block":6,"hp":1170},{"name":"TFT5_Irelia","disname":"U2000705_TFT5_Irelia_8","type":5,"block":6,"hp":1350},{"name":"TFT5_Rakan","disname":"U2000820_TFT5_Rakan_7","type":5,"block":6,"hp":800},{"name":"TFT5_MissFortune","disname":"U2000923_TFT5_MissFortune_13","type":5,"block":6,"hp":1410},{"name":"TFT5_Lucian","disname":"U2000981_TFT5_Lucian_14","type":5,"block":6,"hp":1800},{"name":"TFT5_Galio","disname":"U2001034_TFT5_Galio_8","type":5,"block":6,"hp":1000},{"name":"TFT5_Aphelios","disname":"U2001052_TFT5_Aphelios_1","type":5,"block":2,"hp":650},{"name":"TFT5_Rakan","disname":"U2000821_TFT5_Rakan_2","type":5,"block":1,"hp":1440},{"name":"TFT5_Akshan","disname":"U2001153_TFT5_Akshan_1","type":5,"block":6,"hp":850},{"name":"TestCubeRender","disname":"TestCube","type":5,"block":7,"hp":100},{"name":"TestCubeRender","disname":"TestCube","type":5,"block":7,"hp":100},{"name":"TFT5_LeeSin","disname":"U2000770_TFT5_LeeSin_1","type":5,"block":3,"hp":850},{"name":"TFT5_Irelia","disname":"U2000712_TFT5_Irelia_1","type":5,"block":1,"hp":750},{"name":"TFT5_Pyke","disname":"U2000578_TFT5_Pyke_1","type":5,"block":1,"hp":650},{"name":"TFT5_Kennen","disname":"U2000622_TFT5_Kennen_1","type":5,"block":5,"hp":600},{"name":"TFT5_Irelia","disname":"U2000711_TFT5_Irelia_1","type":5,"block":1,"hp":750}]}</t>
  </si>
  <si>
    <t>{"success":true,"code":200,"msg":"鎴愬姛","data":[{"isme":true,"zt":5,"fit":0,"name":"TFTChampion","disname":"AlphaChess","type":3,"block":2,"hp":17},{"fit":4,"name":"TFTChampion","disname":"Etenlly涓禠ife","type":3,"block":7,"hp":21},{"fit":1,"name":"TFTChampion","disname":"yxw璧涚兢821176636","type":3,"block":8,"hp":0},{"fit":2,"name":"TFTChampion","disname":"闅捐繃鐨勫垢绂?,"type":3,"block":5,"hp":23},{"fit":2,"name":"TFTChampion","disname":"濞滅編鏄潯缇庝汉楸?,"type":3,"block":1,"hp":66},{"fit":2,"name":"TFTChampion","disname":"Blade9","type":3,"block":0,"hp":33},{"fit":3,"name":"TFTChampion","disname":"妯辩拑娴嗘灉","type":3,"block":3,"hp":39},{"fit":2,"name":"TFTChampion","disname":"涓惰鎴戝噳蹇竴浼氬効","type":3,"block":6,"hp":92},{"name":"TFT5_Lucian","disname":"U2000980_TFT5_Lucian_1","type":5,"block":6,"hp":800},{"name":"TFT5_Gragas","disname":"U2000309_TFT5_Gragas_8","type":5,"block":0,"hp":1350},{"name":"TFT5_Tristana","disname":"U2000724_TFT5_Tristana_1","type":5,"block":6,"hp":990},{"name":"TFT5_Nunu","disname":"U2000869_TFT5_Nunu_1","type":5,"block":7,"hp":1620},{"name":"TFT5_Sejuani","disname":"U2000583_TFT5_Sejuani_1","type":5,"block":3,"hp":750},{"name":"TFT5_Galio","disname":"U2001027_TFT5_Galio_1","type":5,"block":2,"hp":1000},{"name":"TFT5_Riven","disname":"U2000738_TFT5_Riven_3","type":5,"block":2,"hp":1530},{"name":"TFT5_Volibear","disname":"U2001163_TFT5_Volibear_1","type":5,"block":2,"hp":1100},{"name":"TFT5_Galio","disname":"U2001030_TFT5_Galio_1","type":5,"block":6,"hp":1000},{"name":"TFT5_MissFortune","disname":"U2000918_TFT5_MissFortune_1","type":5,"block":1,"hp":700},{"name":"TFT5_Irelia","disname":"U2000710_TFT5_Irelia_1","type":5,"block":6,"hp":750},{"name":"TFT5_Senna","disname":"U2000391_TFT5_Senna_1","type":5,"block":6,"hp":500},{"name":"TFT5_Nidalee","disname":"U2000897_TFT5_Nidalee_2","type":5,"block":2,"hp":800},{"name":"TFT5_Pyke","disname":"U2000581_TFT5_Pyke_1","type":5,"block":6,"hp":1170},{"name":"TFT5_Rakan","disname":"U2000813_TFT5_Rakan_1","type":5,"block":6,"hp":800},{"name":"TFT5_Riven","disname":"U2000748_TFT5_Riven_1","type":5,"block":2,"hp":850},{"name":"TFT5_MissFortune","disname":"U2000930_TFT5_MissFortune_1","type":5,"block":6,"hp":700},{"name":"TFT5_Riven","disname":"U2000753_TFT5_Riven_9","type":5,"block":2,"hp":1530},{"name":"TFT5_Rakan","disname":"U2000820_TFT5_Rakan_7","type":5,"block":6,"hp":800},{"name":"TFT5_Rakan","disname":"U2000821_TFT5_Rakan_2","type":5,"block":1,"hp":1440},{"name":"TFT5_Irelia","disname":"U2000712_TFT5_Irelia_1","type":5,"block":1,"hp":750},{"name":"TFT5_Pyke","disname":"U2000578_TFT5_Pyke_1","type":5,"block":1,"hp":650},{"name":"TFT5_Irelia","disname":"U2000711_TFT5_Irelia_1","type":5,"block":1,"hp":750},{"name":"TFT5_Rakan","disname":"U2000817_TFT5_Rakan_1","type":5,"block":1,"hp":800},{"name":"TFT5_Lulu","disname":"U2000775_TFT5_Lulu_2","type":5,"block":5,"hp":650},{"name":"TestCubeRender","disname":"Test","type":5,"block":6,"hp":0},{"name":"TFT5_Gragas","disname":"U2000329_TFT5_Gragas_27","type":5,"block":7,"hp":1900},{"name":"TFT5_Ziggs","disname":"U2000348_TFT5_Ziggs_13","type":5,"block":7,"hp":810},{"name":"TFT5_Kalista","disname":"U2000448_TFT5_Kalista_24","type":5,"block":7,"hp":900},{"name":"TFT5_Brand","disname":"U2000535_TFT5_Brand_16","type":5,"block":7,"hp":1080},{"name":"TFT5_Sejuani","disname":"U2000595_TFT5_Sejuani_19","type":5,"block":7,"hp":1750},{"name":"TFT5_Nunu","disname":"U2000880_TFT5_Nunu_7","type":5,"block":7,"hp":1450},{"name":"TFT5_Yasuo","disname":"U2000901_TFT5_Yasuo_18","type":5,"block":7,"hp":1440},{"name":"TFT5_Fiddlesticks","disname":"U2001067_TFT5_Fiddlesticks_10","type":5,"block":7,"hp":800},{"name":"TFT5_Kled","disname":"U2000263_TFT5_Kled_22","type":5,"block":5,"hp":1296},{"name":"TFT5_Poppy","disname":"U2000298_TFT5_Poppy_25","type":5,"block":5,"hp":1944},{"name":"TFT5_Senna","disname":"U2000366_TFT5_Senna_22","type":5,"block":5,"hp":1620},{"name":"TFT5_Olaf","disname":"U2000396_TFT5_Olaf_25","type":5,"block":5,"hp":2106},{"name":"TFT5_Kennen","disname":"U2000612_TFT5_Kennen_4","type":5,"block":5,"hp":1944},{"name":"TFT5_Tristana","disname":"U2000717_TFT5_Tristana_17","type":5,"block":5,"hp":1782},{"name":"TFT5_Aatrox","disname":"U2000087_TFT5_Aatrox_14","type":5,"block":2,"hp":650},{"name":"TFT5_Hecarim","disname":"U2000553_TFT5_Hecarim_26","type":5,"block":2,"hp":750},{"name":"TFT5_Sejuani","disname":"U2000604_TFT5_Sejuani_32","type":5,"block":2,"hp":1350},{"name":"TFT5_Yasuo","disname":"U2000917_TFT5_Yasuo_23","type":5,"block":2,"hp":1440},{"name":"TFT5_Rell","disname":"U2000991_TFT5_Rell_11","type":5,"block":2,"hp":1710},{"name":"TFT5_Draven","disname":"U2001081_TFT5_Draven_11","type":5,"block":2,"hp":850},{"name":"TFT5_Kayle","disname":"U2001147_TFT5_Kayle_3","type":5,"block":2,"hp":650},{"name":"TFT5_Senna","disname":"U2000372_TFT5_Senna_25","type":5,"block":1,"hp":500},{"name":"TFT5_Pyke","disname":"U2000573_TFT5_Pyke_26","type":5,"block":1,"hp":1170},{"name":"TFT5_Irelia","disname":"U2000701_TFT5_Irelia_10","type":5,"block":1,"hp":1350},{"name":"TFT5_Tristana","disname":"U2000731_TFT5_Tristana_23","type":5,"block":1,"hp":990},{"name":"TFT5_Rakan","disname":"U2000825_TFT5_Rakan_26","type":5,"block":1,"hp":1440},{"name":"TFT5_MissFortune","disname":"U2000935_TFT5_MissFortune_15","type":5,"block":1,"hp":700},{"name":"TFT5_Lucian","disname":"U2000982_TFT5_Lucian_6","type":5,"block":1,"hp":800},{"name":"TFT5_Galio","disname":"U2001032_TFT5_Galio_5","type":5,"block":1,"hp":1000},{"name":"TFT5_Kalista","disname":"U2000440_TFT5_Kalista_28","type":5,"block":0,"hp":900},{"name":"TFT5_Brand","disname":"U2000531_TFT5_Brand_30","type":5,"block":0,"hp":1080},{"name":"TFT5_Sejuani","disname":"U2000588_TFT5_Sejuani_21","type":5,"block":0,"hp":1750},{"name":"TFT5_Nunu","disname":"U2000864_TFT5_Nunu_11","type":5,"block":0,"hp":2300},{"name":"TFT5_Yasuo","disname":"U2000903_TFT5_Yasuo_4","type":5,"block":0,"hp":800},{"name":"TFT5_Nocturne","disname":"U2000945_TFT5_Nocturne_3","type":5,"block":0,"hp":650},{"name":"TFT5_Ivern","disname":"U2001039_TFT5_Ivern_11","type":5,"block":0,"hp":1710},{"name":"TFT5_Fiddlesticks","disname":"U2001071_TFT5_Fiddlesticks_9","type":5,"block":0,"hp":1440},{"name":"TFT5_Gragas","disname":"U2000316_TFT5_Gragas_20","type":5,"block":3,"hp":1750},{"name":"TFT5_Kalista","disname":"U2000430_TFT5_Kalista_30","type":5,"block":3,"hp":900},{"name":"TFT5_Syndra","disname":"U2000495_TFT5_Syndra_10","type":5,"block":3,"hp":600},{"name":"TFT5_Brand","disname":"U2000525_TFT5_Brand_23","type":5,"block":3,"hp":1080},{"name":"TFT5_Sejuani","disname":"U2000592_TFT5_Sejuani_11","type":5,"block":3,"hp":1150},{"name":"TFT5_Nunu","disname":"U2000867_TFT5_Nunu_28","type":5,"block":3,"hp":2320},{"name":"TFT5_Yasuo","disname":"U2000913_TFT5_Yasuo_23","type":5,"block":3,"hp":1440},{"name":"TFT5_Ivern","disname":"U2001048_TFT5_Ivern_2","type":5,"block":3,"hp":950},{"name":"TFT5_Senna","disname":"U2000383_TFT5_Senna_23","type":5,"block":6,"hp":1050},{"name":"TFT5_Pyke","disname":"U2000580_TFT5_Pyke_28","type":5,"block":6,"hp":1170},{"name":"TFT5_Irelia","disname":"U2000705_TFT5_Irelia_9","type":5,"block":6,"hp":1350},{"name":"TFT5_MissFortune","disname":"U2000923_TFT5_MissFortune_14","type":5,"block":6,"hp":1410},{"name":"TFT5_Lucian","disname":"U2000981_TFT5_Lucian_15","type":5,"block":6,"hp":1800},{"name":"TFT5_Galio","disname":"U2001034_TFT5_Galio_9","type":5,"block":6,"hp":1000},{"name":"TFT5_Akshan","disname":"U2001153_TFT5_Akshan_2","type":5,"block":6,"hp":850}]}</t>
  </si>
  <si>
    <t>{"success":true,"code":200,"msg":"鎴愬姛","data":[{"isme":true,"zt":5,"fit":0,"name":"TFTChampion","disname":"AlphaChess","type":3,"block":2,"hp":17},{"fit":4,"name":"TFTChampion","disname":"Etenlly涓禠ife","type":3,"block":7,"hp":21},{"fit":1,"name":"TFTChampion","disname":"yxw璧涚兢821176636","type":3,"block":8,"hp":0},{"fit":2,"name":"TFTChampion","disname":"闅捐繃鐨勫垢绂?,"type":3,"block":5,"hp":23},{"fit":2,"name":"TFTChampion","disname":"濞滅編鏄潯缇庝汉楸?,"type":3,"block":1,"hp":66},{"fit":2,"name":"TFTChampion","disname":"Blade9","type":3,"block":0,"hp":33},{"fit":3,"name":"TFTChampion","disname":"妯辩拑娴嗘灉","type":3,"block":3,"hp":39},{"fit":2,"name":"TFTChampion","disname":"涓惰鎴戝噳蹇竴浼氬効","type":3,"block":6,"hp":92},{"name":"TFT5_Lucian","disname":"U2000980_TFT5_Lucian_1","type":5,"block":6,"hp":800},{"name":"TFT5_Gragas","disname":"U2000309_TFT5_Gragas_8","type":5,"block":0,"hp":1350},{"name":"TFT5_Tristana","disname":"U2000724_TFT5_Tristana_1","type":5,"block":6,"hp":990},{"name":"TFT5_Nunu","disname":"U2000869_TFT5_Nunu_1","type":5,"block":7,"hp":1620},{"name":"TFT5_Galio","disname":"U2001027_TFT5_Galio_1","type":5,"block":2,"hp":1000},{"name":"TFT5_Volibear","disname":"U2001163_TFT5_Volibear_1","type":5,"block":2,"hp":1100},{"name":"TFT5_Galio","disname":"U2001030_TFT5_Galio_1","type":5,"block":6,"hp":1000},{"name":"TFT5_MissFortune","disname":"U2000918_TFT5_MissFortune_1","type":5,"block":1,"hp":700},{"name":"TFT5_Irelia","disname":"U2000710_TFT5_Irelia_1","type":5,"block":6,"hp":750},{"name":"TFT5_Senna","disname":"U2000391_TFT5_Senna_1","type":5,"block":6,"hp":500},{"name":"TFT5_Pyke","disname":"U2000581_TFT5_Pyke_1","type":5,"block":6,"hp":1170},{"name":"TFT5_Rakan","disname":"U2000813_TFT5_Rakan_1","type":5,"block":6,"hp":800},{"name":"TFT5_MissFortune","disname":"U2000930_TFT5_MissFortune_1","type":5,"block":6,"hp":700},{"name":"TFT5_Rakan","disname":"U2000820_TFT5_Rakan_7","type":5,"block":6,"hp":800},{"name":"TFT5_Rakan","disname":"U2000821_TFT5_Rakan_2","type":5,"block":1,"hp":1440},{"name":"TFT5_Irelia","disname":"U2000712_TFT5_Irelia_1","type":5,"block":1,"hp":750},{"name":"TFT5_Pyke","disname":"U2000578_TFT5_Pyke_1","type":5,"block":1,"hp":650},{"name":"TFT5_Irelia","disname":"U2000711_TFT5_Irelia_1","type":5,"block":1,"hp":750},{"name":"TFT5_Rakan","disname":"U2000817_TFT5_Rakan_1","type":5,"block":1,"hp":800},{"name":"TFT5_Lulu","disname":"U2000775_TFT5_Lulu_2","type":5,"block":5,"hp":650},{"name":"TFT5_Gragas","disname":"U2000329_TFT5_Gragas_27","type":5,"block":7,"hp":1900},{"name":"TFT5_Ziggs","disname":"U2000348_TFT5_Ziggs_13","type":5,"block":7,"hp":810},{"name":"TFT5_Kalista","disname":"U2000448_TFT5_Kalista_24","type":5,"block":7,"hp":900},{"name":"TFT5_Brand","disname":"U2000535_TFT5_Brand_16","type":5,"block":7,"hp":1080},{"name":"TFT5_Sejuani","disname":"U2000595_TFT5_Sejuani_19","type":5,"block":7,"hp":1750},{"name":"TFT5_Nunu","disname":"U2000880_TFT5_Nunu_7","type":5,"block":7,"hp":1450},{"name":"TFT5_Yasuo","disname":"U2000901_TFT5_Yasuo_18","type":5,"block":7,"hp":1440},{"name":"TFT5_Fiddlesticks","disname":"U2001067_TFT5_Fiddlesticks_10","type":5,"block":7,"hp":800},{"name":"TFT5_Kled","disname":"U2000263_TFT5_Kled_22","type":5,"block":5,"hp":1296},{"name":"TFT5_Poppy","disname":"U2000298_TFT5_Poppy_25","type":5,"block":5,"hp":1944},{"name":"TFT5_Senna","disname":"U2000366_TFT5_Senna_22","type":5,"block":5,"hp":1620},{"name":"TFT5_Olaf","disname":"U2000396_TFT5_Olaf_25","type":5,"block":5,"hp":2106},{"name":"TFT5_Kennen","disname":"U2000612_TFT5_Kennen_4","type":5,"block":5,"hp":1944},{"name":"TFT5_Tristana","disname":"U2000717_TFT5_Tristana_17","type":5,"block":5,"hp":1782},{"name":"TFT5_Aatrox","disname":"U2000087_TFT5_Aatrox_14","type":5,"block":2,"hp":650},{"name":"TFT5_Hecarim","disname":"U2000553_TFT5_Hecarim_26","type":5,"block":2,"hp":750},{"name":"TFT5_Sejuani","disname":"U2000604_TFT5_Sejuani_32","type":5,"block":2,"hp":1350},{"name":"TFT5_Yasuo","disname":"U2000917_TFT5_Yasuo_23","type":5,"block":2,"hp":1440},{"name":"TFT5_Rell","disname":"U2000991_TFT5_Rell_11","type":5,"block":2,"hp":1710},{"name":"TFT5_Draven","disname":"U2001081_TFT5_Draven_11","type":5,"block":2,"hp":850},{"name":"TFT5_Kayle","disname":"U2001147_TFT5_Kayle_3","type":5,"block":2,"hp":650},{"name":"TFT5_Senna","disname":"U2000372_TFT5_Senna_25","type":5,"block":1,"hp":500},{"name":"TFT5_Pyke","disname":"U2000573_TFT5_Pyke_26","type":5,"block":1,"hp":1170},{"name":"TFT5_Irelia","disname":"U2000701_TFT5_Irelia_10","type":5,"block":1,"hp":1350},{"name":"TFT5_Tristana","disname":"U2000731_TFT5_Tristana_23","type":5,"block":1,"hp":990},{"name":"TFT5_Rakan","disname":"U2000825_TFT5_Rakan_26","type":5,"block":1,"hp":1440},{"name":"TFT5_MissFortune","disname":"U2000935_TFT5_MissFortune_15","type":5,"block":1,"hp":700},{"name":"TFT5_Lucian","disname":"U2000982_TFT5_Lucian_6","type":5,"block":1,"hp":800},{"name":"TFT5_Galio","disname":"U2001032_TFT5_Galio_5","type":5,"block":1,"hp":1000},{"name":"TFT5_Kalista","disname":"U2000440_TFT5_Kalista_28","type":5,"block":0,"hp":900},{"name":"TFT5_Brand","disname":"U2000531_TFT5_Brand_30","type":5,"block":0,"hp":1080},{"name":"TFT5_Sejuani","disname":"U2000588_TFT5_Sejuani_21","type":5,"block":0,"hp":1750},{"name":"TFT5_Nunu","disname":"U2000864_TFT5_Nunu_11","type":5,"block":0,"hp":2450},{"name":"TFT5_Yasuo","disname":"U2000903_TFT5_Yasuo_4","type":5,"block":0,"hp":800},{"name":"TFT5_Nocturne","disname":"U2000945_TFT5_Nocturne_3","type":5,"block":0,"hp":650},{"name":"TFT5_Ivern","disname":"U2001039_TFT5_Ivern_11","type":5,"block":0,"hp":1710},{"name":"TFT5_Fiddlesticks","disname":"U2001071_TFT5_Fiddlesticks_9","type":5,"block":0,"hp":1440},{"name":"TFT5_Gragas","disname":"U2000316_TFT5_Gragas_20","type":5,"block":3,"hp":1750},{"name":"TFT5_Kalista","disname":"U2000430_TFT5_Kalista_30","type":5,"block":3,"hp":900},{"name":"TFT5_Syndra","disname":"U2000495_TFT5_Syndra_10","type":5,"block":3,"hp":600},{"name":"TFT5_Brand","disname":"U2000525_TFT5_Brand_23","type":5,"block":3,"hp":1080},{"name":"TFT5_Sejuani","disname":"U2000592_TFT5_Sejuani_11","type":5,"block":3,"hp":1750},{"name":"TFT5_Nunu","disname":"U2000867_TFT5_Nunu_28","type":5,"block":3,"hp":2320},{"name":"TFT5_Yasuo","disname":"U2000913_TFT5_Yasuo_23","type":5,"block":3,"hp":1440},{"name":"TFT5_Ivern","disname":"U2001048_TFT5_Ivern_2","type":5,"block":3,"hp":950},{"name":"TFT5_Senna","disname":"U2000383_TFT5_Senna_23","type":5,"block":6,"hp":1050},{"name":"TFT5_Pyke","disname":"U2000580_TFT5_Pyke_28","type":5,"block":6,"hp":1170},{"name":"TFT5_Irelia","disname":"U2000705_TFT5_Irelia_9","type":5,"block":6,"hp":1350},{"name":"TFT5_MissFortune","disname":"U2000923_TFT5_MissFortune_14","type":5,"block":6,"hp":1410},{"name":"TFT5_Lucian","disname":"U2000981_TFT5_Lucian_15","type":5,"block":6,"hp":1800},{"name":"TFT5_Galio","disname":"U2001034_TFT5_Galio_9","type":5,"block":6,"hp":1000},{"name":"TFT5_Akshan","disname":"U2001153_TFT5_Akshan_2","type":5,"block":6,"hp":850},{"name":"TFT5_Lulu","disname":"U2000786_TFT5_Lulu_1","type":5,"block":5,"hp":650},{"name":"TFT5_Riven","disname":"U2000751_TFT5_Riven_1","type":5,"block":2,"hp":2754},{"name":"TFT5_Nunu","disname":"U2000868_TFT5_Nunu_1","type":5,"block":7,"hp":900},{"name":"TFT5_Sejuani","disname":"U2000586_TFT5_Sejuani_1","type":5,"block":3,"hp":750}]}</t>
  </si>
  <si>
    <t>"block":0,"hp":2450</t>
  </si>
  <si>
    <t>null</t>
  </si>
  <si>
    <t>hp error</t>
  </si>
  <si>
    <t>{"success":true,"code":200,"msg":"鎴愬姛","data":["","","","",""]}</t>
  </si>
  <si>
    <t>{"success":true,"code":200,"msg":"0","data":[]}</t>
  </si>
  <si>
    <t>载入画面的例子</t>
  </si>
  <si>
    <t>{"success":true,"code":200,"msg":"鎴愬姛","data":["TFT5_Ashe","TFT5_Tristana","TFT5_Rakan","TFT5_Gragas","TFT5_Poppy"]}</t>
  </si>
  <si>
    <t>{"success":true,"code":200,"msg":"鎴愬姛","data":[{"isme":true,"zt":5,"fit":0,"name":"TFTChampion","disname":"AlphaChess","type":3,"block":5,"hp":53},{"fit":2,"name":"TFTChampion","disname":"瀛愪复宸?,"type":3,"block":7,"hp":62},{"fit":0,"name":"TFTChampion","disname":"浣犳兂鑷loser","type":3,"block":8,"hp":0},{"fit":1,"name":"TFTChampion","disname":"鑺辩播鑺卞ぇ鐖?,"type":3,"block":2,"hp":76},{"fit":1,"name":"TFTChampion","disname":"褰辩殑褰卞瓙","type":3,"block":1,"hp":61},{"fit":2,"name":"TFTChampion","disname":"钀屼粩鎯冲枬鍐伴様钀?,"type":3,"block":0,"hp":68},{"fit":1,"name":"TFTChampion","disname":"椤組ei涓堕鑷婁緷瀛?,"type":3,"block":3,"hp":100},{"fit":2,"name":"TFTChampion","disname":"蹇垫棤244","type":3,"block":6,"hp":78},{"name":"TFT5_Lulu","disname":"U2000787_TFT5_Lulu_1","type":5,"block":3,"hp":650},{"name":"TFT5_Poppy","disname":"U2000301_TFT5_Poppy_1","type":5,"block":3,"hp":600},{"name":"TFT5_Leona","disname":"U2000132_TFT5_Leona_1","type":5,"block":2,"hp":700},{"name":"TFT5_Nautilus","disname":"U2000629_TFT5_Nautilus_2","type":5,"block":5,"hp":750},{"name":"TFT5_Tristana","disname":"U2000728_TFT5_Tristana_5","type":5,"block":5,"hp":550},{"name":"TFT5_Kled","disname":"U2000260_TFT5_Kled_1","type":5,"block":3,"hp":400},{"name":"TFT5_Olaf","disname":"U2000393_TFT5_Olaf_1","type":5,"block":6,"hp":650},{"name":"TFT5_Soraka","disname":"U2000474_TFT5_Soraka_7","type":5,"block":5,"hp":550},{"name":"TFT5_Sett","disname":"U2000673_TFT5_Sett_5","type":5,"block":6,"hp":750},{"name":"TFT5_Leona","disname":"U2000150_TFT5_Leona_1","type":5,"block":2,"hp":700},{"name":"TFT5_Udyr","disname":"U2000178_TFT5_Udyr_1","type":5,"block":1,"hp":700},{"name":"TFT5_Ziggs","disname":"U2000357_TFT5_Ziggs_1","type":5,"block":3,"hp":450},{"name":"TFT5_Brand","disname":"U2000523_TFT5_Brand_9","type":5,"block":1,"hp":600},{"name":"TFT5_Irelia","disname":"U2000705_TFT5_Irelia_1","type":5,"block":7,"hp":750},{"name":"TFT5_Nunu","disname":"U2000870_TFT5_Nunu_1","type":5,"block":3,"hp":900},{"name":"TFT5_Varus","disname":"U2000467_TFT5_Varus_1","type":5,"block":5,"hp":600},{"name":"TFT5_Hecarim","disname":"U2000539_TFT5_Hecarim_1","type":5,"block":5,"hp":750},{"name":"TFT5_Varus","disname":"U2000458_TFT5_Varus_1","type":5,"block":5,"hp":600},{"name":"TFT5_Nidalee","disname":"U2000895_TFT5_Nidalee_4","type":5,"block":5,"hp":800},{"name":"TFT5_Tristana","disname":"U2000732_TFT5_Tristana_1","type":5,"block":3,"hp":550},{"name":"TFT5_Sett","disname":"U2000684_TFT5_Sett_1","type":5,"block":1,"hp":750},{"name":"TFT5_Ziggs","disname":"U2000360_TFT5_Ziggs_1","type":5,"block":1,"hp":450},{"name":"TFT5_Poppy","disname":"U2000287_TFT5_Poppy_1","type":5,"block":3,"hp":600},{"name":"TFT5_Olaf","disname":"U2000412_TFT5_Olaf_1","type":5,"block":7,"hp":650},{"name":"TFT5_Sejuani","disname":"U2000601_TFT5_Sejuani_9","type":5,"block":5,"hp":1350},{"name":"TFT5_Nidalee","disname":"U2000892_TFT5_Nidalee_5","type":5,"block":6,"hp":800},{"name":"TFT5_Kalista","disname":"U2000425_TFT5_Kalista_6","type":5,"block":1,"hp":900},{"name":"TFT5_Ziggs","disname":"U2000359_TFT5_Ziggs_1","type":5,"block":3,"hp":450},{"name":"TFT5_Udyr","disname":"U2000183_TFT5_Udyr_1","type":5,"block":1,"hp":700},{"name":"TFT5_Nidalee","disname":"U2000891_TFT5_Nidalee_1","type":5,"block":6,"hp":800},{"name":"TFT5_Nunu","disname":"U2000871_TFT5_Nunu_1","type":5,"block":5,"hp":900},{"name":"TFT5_Kennen","disname":"U2000611_TFT5_Kennen_4","type":5,"block":6,"hp":600},{"name":"TFT5_DraconicEgg","disname":"U2001447_TFT5_DraconicEgg_1","type":5,"block":1,"hp":2},{"name":"TFT5_DraconicEgg","disname":"U2001448_TFT5_DraconicEgg_1","type":5,"block":6,"hp":3},{"name":"TFT5_Irelia","disname":"U2000712_TFT5_Irelia_1","type":5,"block":6,"hp":750},{"name":"TFT5_Kled","disname":"U2000253_TFT5_Kled_1","type":5,"block":3,"hp":400},{"name":"TFT5_Ivern","disname":"U2001040_TFT5_Ivern_1","type":5,"block":6,"hp":950},{"name":"TFT5_Olaf","disname":"U2000407_TFT5_Olaf_2","type":5,"block":7,"hp":650},{"name":"TFT5_Senna","disname":"U2000366_TFT5_Senna_1","type":5,"block":7,"hp":500},{"name":"TFT5_Pyke","disname":"U2000578_TFT5_Pyke_1","type":5,"block":7,"hp":650},{"name":"TFT5_Sett","disname":"U2000683_TFT5_Sett_1","type":5,"block":7,"hp":750},{"name":"TFT5_Senna","disname":"U2000388_TFT5_Senna_6","type":5,"block":7,"hp":900},{"name":"TFT5_Olaf","disname":"U2000399_TFT5_Olaf_6","type":5,"block":7,"hp":1170},{"name":"TFT5_Sett","disname":"U2000680_TFT5_Sett_13","type":5,"block":7,"hp":1350},{"name":"TFT5_Irelia","disname":"U2000698_TFT5_Irelia_7","type":5,"block":7,"hp":750},{"name":"TFT5_Galio","disname":"U2001032_TFT5_Galio_5","type":5,"block":7,"hp":1000},{"name":"TFT5_Riven","disname":"U2000746_TFT5_Riven_13","type":5,"block":5,"hp":850},{"name":"TFT5_Lux","disname":"U2000796_TFT5_Lux_9","type":5,"block":5,"hp":600},{"name":"TFT5_Rakan","disname":"U2000820_TFT5_Rakan_11","type":5,"block":5,"hp":800},{"name":"TFT5_Ashe","disname":"U2000836_TFT5_Ashe_3","type":5,"block":5,"hp":550},{"name":"TFT5_Nunu","disname":"U2000879_TFT5_Nunu_6","type":5,"block":5,"hp":900},{"name":"TFT5_Aatrox","disname":"U2000085_TFT5_Aatrox_18","type":5,"block":2,"hp":1170},{"name":"TFT5_Leona","disname":"U2000133_TFT5_Leona_18","type":5,"block":2,"hp":1260},{"name":"TFT5_Poppy","disname":"U2000297_TFT5_Poppy_6","type":5,"block":2,"hp":1080},{"name":"TFT5_Kalista","disname":"U2000442_TFT5_Kalista_14","type":5,"block":2,"hp":500},{"name":"TFT5_Syndra","disname":"U2000514_TFT5_Syndra_18","type":5,"block":2,"hp":1080},{"name":"TFT5_Udyr","disname":"U2000175_TFT5_Udyr_17","type":5,"block":1,"hp":1260},{"name":"TFT5_Kled","disname":"U2000263_TFT5_Kled_11","type":5,"block":1,"hp":400},{"name":"TFT5_Ziggs","disname":"U2000334_TFT5_Ziggs_19","type":5,"block":1,"hp":450},{"name":"TFT5_Brand","disname":"U2000536_TFT5_Brand_7","type":5,"block":1,"hp":600},{"name":"TFT5_Sett","disname":"U2000674_TFT5_Sett_8","type":5,"block":1,"hp":750},{"name":"TFT5_Ashe","disname":"U2000844_TFT5_Ashe_8","type":5,"block":1,"hp":550},{"name":"TFT5_Khazix","disname":"U2000225_TFT5_Khazix_11","type":5,"block":0,"hp":900},{"name":"TFT5_Varus","disname":"U2000466_TFT5_Varus_8","type":5,"block":0,"hp":600},{"name":"TFT5_Sejuani","disname":"U2000593_TFT5_Sejuani_9","type":5,"block":0,"hp":1350},{"name":"TFT5_Nautilus","disname":"U2000637_TFT5_Nautilus_13","type":5,"block":0,"hp":1500},{"name":"TFT5_Thresh","disname":"U2000670_TFT5_Thresh_17","type":5,"block":0,"hp":800},{"name":"TFT5_Diana","disname":"U2001021_TFT5_Diana_3","type":5,"block":0,"hp":750},{"name":"TFT5_Kled","disname":"U2000261_TFT5_Kled_4","type":5,"block":3,"hp":720},{"name":"TFT5_Ziggs","disname":"U2000347_TFT5_Ziggs_10","type":5,"block":3,"hp":810},{"name":"TFT5_Kalista","disname":"U2000435_TFT5_Kalista_15","type":5,"block":3,"hp":900},{"name":"TFT5_Brand","disname":"U2000529_TFT5_Brand_12","type":5,"block":3,"hp":600},{"name":"TFT5_Nunu","disname":"U2000877_TFT5_Nunu_14","type":5,"block":3,"hp":1050},{"name":"TFT5_Yasuo","disname":"U2000902_TFT5_Yasuo_13","type":5,"block":3,"hp":800},{"name":"TFT5_Udyr","disname":"U2000164_TFT5_Udyr_18","type":5,"block":6,"hp":1260},{"name":"TFT5_Olaf","disname":"U2000417_TFT5_Olaf_19","type":5,"block":6,"hp":1170},{"name":"TFT5_Sett","disname":"U2000690_TFT5_Sett_4","type":5,"block":6,"hp":750},{"name":"TFT5_Irelia","disname":"U2000697_TFT5_Irelia_11","type":5,"block":6,"hp":750},{"name":"TFT5_Rakan","disname":"U2000814_TFT5_Rakan_6","type":5,"block":6,"hp":800},{"name":"TFT5_Zyra","disname":"U2000863_TFT5_Zyra_4","type":5,"block":6,"hp":600},{"name":"TFT5_DraconicEgg","disname":"U2001494_TFT5_DraconicEgg_1","type":5,"block":1,"hp":1},{"name":"TFT5_DraconicEgg","disname":"U2001495_TFT5_DraconicEgg_1","type":5,"block":6,"hp":1},{"name":"TFT5_Zyra","disname":"U2000861_TFT5_Zyra_1","type":5,"block":1,"hp":600}]}</t>
  </si>
  <si>
    <t>{"success":true,"code":200,"msg":"鎴愬姛","data":["TFT5_Sett","TFT5_Kennen","TFT5_Varus","TFT5_Thresh","TFT5_Zyra"]}</t>
  </si>
  <si>
    <t>{"success":true,"code":200,"msg":"鎴愬姛","data":[{"isme":true,"zt":5,"fit":0,"name":"TFTChampion","disname":"AlphaChess","type":3,"block":5,"hp":43},{"fit":2,"name":"TFTChampion","disname":"瀛愪复宸?,"type":3,"block":7,"hp":58},{"fit":0,"name":"TFTChampion","disname":"浣犳兂鑷loser","type":3,"block":8,"hp":0},{"fit":1,"name":"TFTChampion","disname":"鑺辩播鑺卞ぇ鐖?,"type":3,"block":2,"hp":76},{"fit":1,"name":"TFTChampion","disname":"褰辩殑褰卞瓙","type":3,"block":1,"hp":48},{"fit":2,"name":"TFTChampion","disname":"钀屼粩鎯冲枬鍐伴様钀?,"type":3,"block":0,"hp":68},{"fit":1,"name":"TFTChampion","disname":"椤組ei涓堕鑷婁緷瀛?,"type":3,"block":3,"hp":94},{"fit":2,"name":"TFTChampion","disname":"蹇垫棤244","type":3,"block":6,"hp":78},{"name":"TFT5_Lulu","disname":"U2000787_TFT5_Lulu_1","type":5,"block":3,"hp":650},{"name":"TFT5_Poppy","disname":"U2000301_TFT5_Poppy_1","type":5,"block":3,"hp":600},{"name":"TFT5_Leona","disname":"U2000132_TFT5_Leona_1","type":5,"block":2,"hp":1260},{"name":"TFT5_Nautilus","disname":"U2000629_TFT5_Nautilus_2","type":5,"block":5,"hp":750},{"name":"TFT5_Tristana","disname":"U2000728_TFT5_Tristana_5","type":5,"block":5,"hp":550},{"name":"TFT5_Kled","disname":"U2000260_TFT5_Kled_1","type":5,"block":3,"hp":400},{"name":"TFT5_Olaf","disname":"U2000393_TFT5_Olaf_1","type":5,"block":6,"hp":650},{"name":"TFT5_Soraka","disname":"U2000474_TFT5_Soraka_7","type":5,"block":5,"hp":550},{"name":"TFT5_Sett","disname":"U2000673_TFT5_Sett_5","type":5,"block":6,"hp":750},{"name":"TFT5_Brand","disname":"U2000523_TFT5_Brand_9","type":5,"block":1,"hp":600},{"name":"TFT5_Nunu","disname":"U2000870_TFT5_Nunu_1","type":5,"block":3,"hp":900},{"name":"TFT5_Varus","disname":"U2000467_TFT5_Varus_1","type":5,"block":5,"hp":600},{"name":"TFT5_Hecarim","disname":"U2000539_TFT5_Hecarim_1","type":5,"block":5,"hp":750},{"name":"TFT5_Varus","disname":"U2000458_TFT5_Varus_1","type":5,"block":5,"hp":600},{"name":"TFT5_Nidalee","disname":"U2000895_TFT5_Nidalee_4","type":5,"block":5,"hp":800},{"name":"TFT5_Tristana","disname":"U2000732_TFT5_Tristana_1","type":5,"block":3,"hp":550},{"name":"TFT5_Sett","disname":"U2000684_TFT5_Sett_1","type":5,"block":1,"hp":750},{"name":"TFT5_Ziggs","disname":"U2000360_TFT5_Ziggs_1","type":5,"block":1,"hp":450},{"name":"TFT5_Poppy","disname":"U2000287_TFT5_Poppy_1","type":5,"block":3,"hp":600},{"name":"TFT5_Olaf","disname":"U2000412_TFT5_Olaf_1","type":5,"block":7,"hp":650},{"name":"TFT5_Kalista","disname":"U2000425_TFT5_Kalista_6","type":5,"block":1,"hp":900},{"name":"TFT5_Udyr","disname":"U2000183_TFT5_Udyr_1","type":5,"block":1,"hp":1260},{"name":"TFT5_Nunu","disname":"U2000871_TFT5_Nunu_1","type":5,"block":5,"hp":900},{"name":"TFT5_DraconicEgg","disname":"U2001448_TFT5_DraconicEgg_1","type":5,"block":6,"hp":3},{"name":"TFT5_Irelia","disname":"U2000712_TFT5_Irelia_1","type":5,"block":6,"hp":750},{"name":"TFT5_Kled","disname":"U2000253_TFT5_Kled_1","type":5,"block":3,"hp":400},{"name":"TFT5_Ivern","disname":"U2001040_TFT5_Ivern_1","type":5,"block":6,"hp":950},{"name":"TFT5_Olaf","disname":"U2000407_TFT5_Olaf_2","type":5,"block":7,"hp":650},{"name":"TFT5_Senna","disname":"U2000366_TFT5_Senna_1","type":5,"block":7,"hp":500},{"name":"TFT5_Sett","disname":"U2000683_TFT5_Sett_1","type":5,"block":7,"hp":750},{"name":"TFT5_Zyra","disname":"U2000863_TFT5_Zyra_4","type":5,"block":6,"hp":600},{"name":"TFT5_Zyra","disname":"U2000861_TFT5_Zyra_1","type":5,"block":1,"hp":600},{"name":"TFT5_Pyke","disname":"U2000577_TFT5_Pyke_1","type":5,"block":7,"hp":1170},{"name":"TFT5_Aatrox","disname":"U2000099_TFT5_Aatrox_1","type":5,"block":2,"hp":650},{"name":"TFT5_Irelia","disname":"U2000699_TFT5_Irelia_1","type":5,"block":7,"hp":750},{"name":"TFT5_Senna","disname":"U2000388_TFT5_Senna_7","type":5,"block":7,"hp":900},{"name":"TFT5_Olaf","disname":"U2000399_TFT5_Olaf_7","type":5,"block":7,"hp":1170},{"name":"TFT5_Sett","disname":"U2000680_TFT5_Sett_14","type":5,"block":7,"hp":1350},{"name":"TFT5_Irelia","disname":"U2000698_TFT5_Irelia_8","type":5,"block":7,"hp":1350},{"name":"TFT5_Galio","disname":"U2001032_TFT5_Galio_6","type":5,"block":7,"hp":1000},{"name":"TFT5_Sejuani","disname":"U2000601_TFT5_Sejuani_10","type":5,"block":5,"hp":1750},{"name":"TFT5_Riven","disname":"U2000746_TFT5_Riven_14","type":5,"block":5,"hp":850},{"name":"TFT5_Lux","disname":"U2000796_TFT5_Lux_10","type":5,"block":5,"hp":600},{"name":"TFT5_Rakan","disname":"U2000820_TFT5_Rakan_12","type":5,"block":5,"hp":800},{"name":"TFT5_Ashe","disname":"U2000836_TFT5_Ashe_4","type":5,"block":5,"hp":550},{"name":"TFT5_Nunu","disname":"U2000879_TFT5_Nunu_7","type":5,"block":5,"hp":1300},{"name":"TFT5_Aatrox","disname":"U2000085_TFT5_Aatrox_20","type":5,"block":2,"hp":1170},{"name":"TFT5_Leona","disname":"U2000133_TFT5_Leona_20","type":5,"block":2,"hp":1260},{"name":"TFT5_Poppy","disname":"U2000297_TFT5_Poppy_8","type":5,"block":2,"hp":1080},{"name":"TFT5_Kalista","disname":"U2000442_TFT5_Kalista_16","type":5,"block":2,"hp":500},{"name":"TFT5_Syndra","disname":"U2000514_TFT5_Syndra_20","type":5,"block":2,"hp":1080},{"name":"TFT5_Udyr","disname":"U2000175_TFT5_Udyr_19","type":5,"block":1,"hp":1260},{"name":"TFT5_Kled","disname":"U2000263_TFT5_Kled_13","type":5,"block":1,"hp":400},{"name":"TFT5_Ziggs","disname":"U2000334_TFT5_Ziggs_21","type":5,"block":1,"hp":450},{"name":"TFT5_Brand","disname":"U2000536_TFT5_Brand_9","type":5,"block":1,"hp":600},{"name":"TFT5_Sett","disname":"U2000674_TFT5_Sett_10","type":5,"block":1,"hp":750},{"name":"TFT5_Ashe","disname":"U2000844_TFT5_Ashe_10","type":5,"block":1,"hp":550},{"name":"TFT5_Khazix","disname":"U2000225_TFT5_Khazix_12","type":5,"block":0,"hp":900},{"name":"TFT5_Varus","disname":"U2000466_TFT5_Varus_9","type":5,"block":0,"hp":600},{"name":"TFT5_Sejuani","disname":"U2000593_TFT5_Sejuani_10","type":5,"block":0,"hp":1350},{"name":"TFT5_Nautilus","disname":"U2000637_TFT5_Nautilus_14","type":5,"block":0,"hp":1500},{"name":"TFT5_Thresh","disname":"U2000670_TFT5_Thresh_18","type":5,"block":0,"hp":800},{"name":"TFT5_Diana","disname":"U2001021_TFT5_Diana_4","type":5,"block":0,"hp":750},{"name":"TFT5_Kled","disname":"U2000261_TFT5_Kled_5","type":5,"block":3,"hp":720},{"name":"TFT5_Ziggs","disname":"U2000347_TFT5_Ziggs_11","type":5,"block":3,"hp":810},{"name":"TFT5_Ziggs","disname":"U2000357_TFT5_Ziggs_2","type":5,"block":3,"hp":810},{"name":"TFT5_Kalista","disname":"U2000435_TFT5_Kalista_16","type":5,"block":3,"hp":900},{"name":"TFT5_Brand","disname":"U2000529_TFT5_Brand_13","type":5,"block":3,"hp":600},{"name":"TFT5_Nunu","disname":"U2000877_TFT5_Nunu_15","type":5,"block":3,"hp":1050},{"name":"TFT5_Yasuo","disname":"U2000902_TFT5_Yasuo_14","type":5,"block":3,"hp":950},{"name":"TFT5_Udyr","disname":"U2000164_TFT5_Udyr_20","type":5,"block":6,"hp":1260},{"name":"TFT5_Olaf","disname":"U2000417_TFT5_Olaf_21","type":5,"block":6,"hp":1170},{"name":"TFT5_Sett","disname":"U2000690_TFT5_Sett_6","type":5,"block":6,"hp":750},{"name":"TFT5_Irelia","disname":"U2000697_TFT5_Irelia_13","type":5,"block":6,"hp":750},{"name":"TFT5_Rakan","disname":"U2000814_TFT5_Rakan_8","type":5,"block":6,"hp":800},{"name":"TFT5_Ashe","disname":"U2000839_TFT5_Ashe_3","type":5,"block":6,"hp":550},{"name":"TFT5_DraconicEgg","disname":"U2001542_TFT5_DraconicEgg_1","type":5,"block":1,"hp":2},{"name":"TFT5_DraconicEgg","disname":"U2001543_TFT5_DraconicEgg_1","type":5,"block":6,"hp":2},{"name":"TestCubeRender","disname":"TestCube","type":5,"block":1,"hp":100},{"name":"TFT5_Zyra","disname":"U2000854_TFT5_Zyra_1","type":5,"block":1,"hp":600},{"name":"TFT5_Nunu","disname":"U2000872_TFT5_Nunu_1","type":5,"block":3,"hp":900}]}</t>
  </si>
  <si>
    <t>{"success":true,"code":200,"msg":"鎴愬姛","data":["TFT5_Poppy","Sold","TFT5_Syndra","TFT5_Irelia","TFT5_Sejuani"]}</t>
  </si>
  <si>
    <t>{"success":true,"code":200,"msg":"鎴愬姛","data":["TFT5_Varus","TFT5_Soraka","TFT5_Varus","TFT5_Kled","TFT5_Hecarim"]}</t>
  </si>
  <si>
    <t>{"success":true,"code":200,"msg":"鎴愬姛","data":[{"isme":true,"zt":5,"fit":0,"name":"TFTChampion","disname":"AlphaChess","type":3,"block":5,"hp":70},{"fit":1,"name":"TFTChampion","disname":"鍊惧煄鍗冭姵","type":3,"block":7,"hp":60},{"fit":1,"name":"TFTChampion","disname":"楹荤儲鏉ヤ竴鏉疢ojito","type":3,"block":8,"hp":100},{"fit":1,"name":"TFTChampion","disname":"鍗戝井蹇箰椋庣敺","type":3,"block":2,"hp":84},{"fit":1,"name":"TFTChampion","disname":"鍞旈涓嶆伅","type":3,"block":1,"hp":42},{"fit":2,"name":"TFTChampion","disname":"闃崇V鏄?,"type":3,"block":0,"hp":22},{"fit":1,"name":"TFTChampion","disname":"fiawad","type":3,"block":3,"hp":90},{"fit":2,"name":"TFTChampion","disname":"璇村惂鎵撹皝","type":3,"block":6,"hp":59},{"name":"TFT5_Leona","disname":"U2000132_TFT5_Leona_1","type":5,"block":7,"hp":700},{"name":"TFT5_Leona","disname":"U2000143_TFT5_Leona_2","type":5,"block":7,"hp":700},{"name":"TFT5_Kled","disname":"U2000261_TFT5_Kled_3","type":5,"block":6,"hp":400},{"name":"TFT5_Vladimir","disname":"U2000190_TFT5_Vladimir_1","type":5,"block":7,"hp":650},{"name":"TFT5_Brand","disname":"U2000531_TFT5_Brand_1","type":5,"block":0,"hp":600},{"name":"TFT5_Sett","disname":"U2000680_TFT5_Sett_1","type":5,"block":1,"hp":1350},{"name":"TFT5_Sett","disname":"U2000676_TFT5_Sett_1","type":5,"block":7,"hp":750},{"name":"TFT5_Aatrox","disname":"U2000081_TFT5_Aatrox_1","type":5,"block":5,"hp":650},{"name":"TFT5_Kled","disname":"U2000254_TFT5_Kled_1","type":5,"block":8,"hp":720},{"name":"TFT5_Aatrox","disname":"U2000097_TFT5_Aatrox_1","type":5,"block":8,"hp":1170},{"name":"TFT5_Vayne","disname":"U2000110_TFT5_Vayne_1","type":5,"block":0,"hp":500},{"name":"TFT5_Varus","disname":"U2000465_TFT5_Varus_1","type":5,"block":0,"hp":600},{"name":"TFT5_Soraka","disname":"U2000484_TFT5_Soraka_1","type":5,"block":0,"hp":550},{"name":"TFT5_Lulu","disname":"U2000787_TFT5_Lulu_2","type":5,"block":8,"hp":650},{"name":"TFT5_Nautilus","disname":"U2000646_TFT5_Nautilus_1","type":5,"block":6,"hp":750},{"name":"TFT5_Vladimir","disname":"U2000193_TFT5_Vladimir_1","type":5,"block":3,"hp":1170},{"name":"TFT5_Kalista","disname":"U2000425_TFT5_Kalista_1","type":5,"block":0,"hp":500},{"name":"TFT5_Ziggs","disname":"U2000350_TFT5_Ziggs_1","type":5,"block":8,"hp":450},{"name":"TFT5_Ziggs","disname":"U2000358_TFT5_Ziggs_1","type":5,"block":8,"hp":450},{"name":"TFT5_Poppy","disname":"U2000278_TFT5_Poppy_1","type":5,"block":8,"hp":1080},{"name":"TFT5_Leona","disname":"U2000137_TFT5_Leona_1","type":5,"block":5,"hp":700},{"name":"TFT5_Yasuo","disname":"U2000903_TFT5_Yasuo_1","type":5,"block":1,"hp":800},{"name":"TFT5_Riven","disname":"U2000746_TFT5_Riven_1","type":5,"block":3,"hp":850},{"name":"TFT5_Sejuani","disname":"U2000604_TFT5_Sejuani_1","type":5,"block":3,"hp":750},{"name":"TFT5_Kalista","disname":"U2000446_TFT5_Kalista_2","type":5,"block":1,"hp":500},{"name":"TFT5_Tristana","disname":"U2000734_TFT5_Tristana_5","type":5,"block":6,"hp":550},{"name":"TFT5_Thresh","disname":"U2000659_TFT5_Thresh_1","type":5,"block":3,"hp":1440},{"name":"TFT5_Olaf","disname":"U2000397_TFT5_Olaf_1","type":5,"block":0,"hp":650},{"name":"TFT5_Varus","disname":"U2000455_TFT5_Varus_1","type":5,"block":5,"hp":600},{"name":"TFT5_Senna","disname":"U2000379_TFT5_Senna_1","type":5,"block":0,"hp":500},{"name":"TFT5_Leona","disname":"U2000146_TFT5_Leona_1","type":5,"block":6,"hp":1260},{"name":"TFT5_Vayne","disname":"U2000117_TFT5_Vayne_1","type":5,"block":2,"hp":500},{"name":"TFT5_Vayne","disname":"U2000120_TFT5_Vayne_1","type":5,"block":2,"hp":500},{"name":"TFT5_Tristana","disname":"U2000725_TFT5_Tristana_1","type":5,"block":6,"hp":550},{"name":"TFT5_Sejuani","disname":"U2000598_TFT5_Sejuani_1","type":5,"block":2,"hp":750},{"name":"TFT5_Lulu","disname":"U2000786_TFT5_Lulu_1","type":5,"block":8,"hp":650},{"name":"TFT5_Thresh","disname":"U2000665_TFT5_Thresh_7","type":5,"block":5,"hp":800},{"name":"TFT5_Vayne","disname":"U2000127_TFT5_Vayne_4","type":5,"block":2,"hp":900},{"name":"TFT5_Leona","disname":"U2000147_TFT5_Leona_5","type":5,"block":6,"hp":1260},{"name":"TFT5_Syndra","disname":"U2000502_TFT5_Syndra_1","type":5,"block":5,"hp":600},{"name":"TFT5_Yasuo","disname":"U2000917_TFT5_Yasuo_1","type":5,"block":3,"hp":800},{"name":"TFT5_Sejuani","disname":"U2000592_TFT5_Sejuani_1","type":5,"block":3,"hp":750},{"name":"TFT5_Aphelios","disname":"U2001057_TFT5_Aphelios_1","type":5,"block":2,"hp":650},{"name":"TFT5_Aatrox","disname":"U2000078_TFT5_Aatrox_9","type":5,"block":7,"hp":650},{"name":"TFT5_Udyr","disname":"U2000160_TFT5_Udyr_18","type":5,"block":7,"hp":1260},{"name":"TFT5_Vladimir","disname":"U2000202_TFT5_Vladimir_12","type":5,"block":7,"hp":650},{"name":"TFT5_Olaf","disname":"U2000414_TFT5_Olaf_16","type":5,"block":7,"hp":650},{"name":"TFT5_LeeSin","disname":"U2000762_TFT5_LeeSin_14","type":5,"block":7,"hp":850},{"name":"TFT5_Aatrox","disname":"U2000094_TFT5_Aatrox_14","type":5,"block":8,"hp":1170},{"name":"TFT5_Kled","disname":"U2000273_TFT5_Kled_16","type":5,"block":8,"hp":720},{"name":"TFT5_Poppy","disname":"U2000301_TFT5_Poppy_15","type":5,"block":8,"hp":1080},{"name":"TFT5_Ziggs","disname":"U2000334_TFT5_Ziggs_18","type":5,"block":8,"hp":810},{"name":"TFT5_Tristana","disname":"U2000721_TFT5_Tristana_11","type":5,"block":8,"hp":990},{"name":"TFT5_Lucian","disname":"U2000987_TFT5_Lucian_6","type":5,"block":8,"hp":800},{"name":"TFT5_Vayne","disname":"U2000108_TFT5_Vayne_15","type":5,"block":5,"hp":900},{"name":"TFT5_Leona","disname":"U2000149_TFT5_Leona_12","type":5,"block":5,"hp":700},{"name":"TFT5_Varus","disname":"U2000470_TFT5_Varus_15","type":5,"block":5,"hp":600},{"name":"TFT5_Syndra","disname":"U2000501_TFT5_Syndra_14","type":5,"block":5,"hp":1080},{"name":"TFT5_Hecarim","disname":"U2000559_TFT5_Hecarim_2","type":5,"block":5,"hp":1350},{"name":"TFT5_Sejuani","disname":"U2000602_TFT5_Sejuani_2","type":5,"block":5,"hp":750},{"name":"TFT5_Vayne","disname":"U2000102_TFT5_Vayne_16","type":5,"block":2,"hp":900},{"name":"TFT5_Poppy","disname":"U2000289_TFT5_Poppy_10","type":5,"block":2,"hp":1080},{"name":"TFT5_Hecarim","disname":"U2000548_TFT5_Hecarim_2","type":5,"block":2,"hp":750},{"name":"TFT5_Sejuani","disname":"U2000601_TFT5_Sejuani_13","type":5,"block":2,"hp":1350},{"name":"TFT5_Thresh","disname":"U2000653_TFT5_Thresh_14","type":5,"block":2,"hp":800},{"name":"TFT5_Ziggs","disname":"U2000342_TFT5_Ziggs_12","type":5,"block":1,"hp":810},{"name":"TFT5_Kalista","disname":"U2000422_TFT5_Kalista_13","type":5,"block":1,"hp":500},{"name":"TFT5_Brand","disname":"U2000520_TFT5_Brand_15","type":5,"block":1,"hp":600},{"name":"TFT5_Sejuani","disname":"U2000588_TFT5_Sejuani_5","type":5,"block":1,"hp":750},{"name":"TFT5_Yasuo","disname":"U2000912_TFT5_Yasuo_15","type":5,"block":1,"hp":800},{"name":"TFT5_Vladimir","disname":"U2000201_TFT5_Vladimir_19","type":5,"block":0,"hp":650},{"name":"TFT5_Khazix","disname":"U2000218_TFT5_Khazix_21","type":5,"block":0,"hp":500},{"name":"TFT5_Senna","disname":"U2000370_TFT5_Senna_18","type":5,"block":0,"hp":500},{"name":"TFT5_Kalista","disname":"U2000424_TFT5_Kalista_3","type":5,"block":0,"hp":500},{"name":"TFT5_Riven","disname":"U2000738_TFT5_Riven_6","type":5,"block":0,"hp":1000},{"name":"TFT5_Rakan","disname":"U2000813_TFT5_Rakan_14","type":5,"block":0,"hp":800},{"name":"TFT5_Vladimir","disname":"U2000189_TFT5_Vladimir_16","type":5,"block":3,"hp":1170},{"name":"TFT5_Olaf","disname":"U2000415_TFT5_Olaf_14","type":5,"block":3,"hp":1170},{"name":"TFT5_Hecarim","disname":"U2000557_TFT5_Hecarim_10","type":5,"block":3,"hp":1350},{"name":"TFT5_Sejuani","disname":"U2000600_TFT5_Sejuani_12","type":5,"block":3,"hp":1350},{"name":"TFT5_Yasuo","disname":"U2000904_TFT5_Yasuo_8","type":5,"block":3,"hp":800},{"name":"TFT5_Kled","disname":"U2000247_TFT5_Kled_13","type":5,"block":6,"hp":400},{"name":"TFT5_Senna","disname":"U2000387_TFT5_Senna_9","type":5,"block":6,"hp":1050},{"name":"TFT5_Hecarim","disname":"U2000552_TFT5_Hecarim_9","type":5,"block":6,"hp":750},{"name":"TFT5_Sejuani","disname":"U2000597_TFT5_Sejuani_4","type":5,"block":6,"hp":750},{"name":"TFT5_MissFortune","disname":"U2000921_TFT5_MissFortune_5","type":5,"block":6,"hp":1260},{"name":"TFT5_Karma","disname":"U2000967_TFT5_Karma_2","type":5,"block":7,"hp":700},{"name":"TFT5_Nidalee","disname":"U2000895_TFT5_Nidalee_2","type":5,"block":8,"hp":800},{"name":"TFT5_Draven","disname":"U2001077_TFT5_Draven_2","type":5,"block":5,"hp":700},{"name":"TFT5_Syndra","disname":"U2000514_TFT5_Syndra_2","type":5,"block":2,"hp":600},{"name":"TFT5_Ashe","disname":"U2000843_TFT5_Ashe_2","type":5,"block":1,"hp":700},{"name":"TFT5_Soraka","disname":"U2000485_TFT5_Soraka_2","type":5,"block":0,"hp":550},{"name":"TFT5_Riven","disname":"U2000739_TFT5_Riven_2","type":5,"block":3,"hp":850},{"name":"TFT5_Galio","disname":"U2001027_TFT5_Galio_2","type":5,"block":6,"hp":1000}]}</t>
  </si>
  <si>
    <t>{"success":true,"code":200,"msg":"鎴愬姛","data":["TFT5_Khazix","TFT5_Lulu","TFT5_Tristana","TFT5_Riven","TFT5_Poppy"]}</t>
  </si>
  <si>
    <t>{"success":true,"code":200,"msg":"鎴愬姛","data":[{"isme":true,"zt":5,"fit":0,"name":"TFTChampion","disname":"AlphaChess","type":3,"block":5,"hp":70},{"fit":1,"name":"TFTChampion","disname":"鍊惧煄鍗冭姵","type":3,"block":7,"hp":47},{"fit":2,"name":"TFTChampion","disname":"楹荤儲鏉ヤ竴鏉疢ojito","type":3,"block":8,"hp":92},{"fit":2,"name":"TFTChampion","disname":"鍗戝井蹇箰椋庣敺","type":3,"block":2,"hp":68},{"fit":1,"name":"TFTChampion","disname":"鍞旈涓嶆伅","type":3,"block":1,"hp":42},{"fit":2,"name":"TFTChampion","disname":"闃崇V鏄?,"type":3,"block":0,"hp":2},{"fit":1,"name":"TFTChampion","disname":"fiawad","type":3,"block":3,"hp":74},{"fit":2,"name":"TFTChampion","disname":"璇村惂鎵撹皝","type":3,"block":6,"hp":59},{"name":"TFT5_Leona","disname":"U2000132_TFT5_Leona_1","type":5,"block":7,"hp":700},{"name":"TFT5_Leona","disname":"U2000143_TFT5_Leona_2","type":5,"block":7,"hp":700},{"name":"TFT5_Kled","disname":"U2000261_TFT5_Kled_3","type":5,"block":6,"hp":400},{"name":"TFT5_Vladimir","disname":"U2000190_TFT5_Vladimir_1","type":5,"block":7,"hp":650},{"name":"TFT5_Brand","disname":"U2000531_TFT5_Brand_1","type":5,"block":0,"hp":600},{"name":"TFT5_Sett","disname":"U2000680_TFT5_Sett_1","type":5,"block":1,"hp":1350},{"name":"TFT5_Sett","disname":"U2000676_TFT5_Sett_1","type":5,"block":7,"hp":750},{"name":"TFT5_Aatrox","disname":"U2000081_TFT5_Aatrox_1","type":5,"block":5,"hp":650},{"name":"TFT5_Kled","disname":"U2000254_TFT5_Kled_1","type":5,"block":8,"hp":720},{"name":"TFT5_Aatrox","disname":"U2000097_TFT5_Aatrox_1","type":5,"block":8,"hp":1170},{"name":"TFT5_Vayne","disname":"U2000110_TFT5_Vayne_1","type":5,"block":0,"hp":500},{"name":"TFT5_Varus","disname":"U2000465_TFT5_Varus_1","type":5,"block":0,"hp":600},{"name":"TFT5_Soraka","disname":"U2000484_TFT5_Soraka_1","type":5,"block":0,"hp":550},{"name":"TFT5_Lulu","disname":"U2000787_TFT5_Lulu_2","type":5,"block":8,"hp":650},{"name":"TFT5_Nautilus","disname":"U2000646_TFT5_Nautilus_1","type":5,"block":6,"hp":750},{"name":"TFT5_Vladimir","disname":"U2000193_TFT5_Vladimir_1","type":5,"block":3,"hp":1170},{"name":"TFT5_Kalista","disname":"U2000425_TFT5_Kalista_1","type":5,"block":0,"hp":500},{"name":"TFT5_Ziggs","disname":"U2000350_TFT5_Ziggs_1","type":5,"block":8,"hp":450},{"name":"TFT5_Ziggs","disname":"U2000358_TFT5_Ziggs_1","type":5,"block":8,"hp":450},{"name":"TFT5_Poppy","disname":"U2000278_TFT5_Poppy_1","type":5,"block":8,"hp":1080},{"name":"TFT5_Sejuani","disname":"U2000604_TFT5_Sejuani_1","type":5,"block":3,"hp":1350},{"name":"TFT5_Tristana","disname":"U2000734_TFT5_Tristana_5","type":5,"block":6,"hp":550},{"name":"TFT5_Thresh","disname":"U2000659_TFT5_Thresh_1","type":5,"block":3,"hp":1440},{"name":"TFT5_Olaf","disname":"U2000397_TFT5_Olaf_1","type":5,"block":0,"hp":650},{"name":"TFT5_Senna","disname":"U2000379_TFT5_Senna_1","type":5,"block":0,"hp":500},{"name":"TFT5_Vayne","disname":"U2000117_TFT5_Vayne_1","type":5,"block":2,"hp":500},{"name":"TFT5_Vayne","disname":"U2000120_TFT5_Vayne_1","type":5,"block":2,"hp":500},{"name":"TFT5_Tristana","disname":"U2000725_TFT5_Tristana_1","type":5,"block":6,"hp":550},{"name":"TFT5_Sejuani","disname":"U2000598_TFT5_Sejuani_1","type":5,"block":2,"hp":750},{"name":"TFT5_Lulu","disname":"U2000786_TFT5_Lulu_1","type":5,"block":8,"hp":650},{"name":"TFT5_Vayne","disname":"U2000127_TFT5_Vayne_4","type":5,"block":2,"hp":900},{"name":"TFT5_Leona","disname":"U2000147_TFT5_Leona_5","type":5,"block":6,"hp":1260},{"name":"TFT5_Syndra","disname":"U2000502_TFT5_Syndra_1","type":5,"block":5,"hp":600},{"name":"TFT5_Yasuo","disname":"U2000917_TFT5_Yasuo_1","type":5,"block":3,"hp":800},{"name":"TFT5_Aphelios","disname":"U2001057_TFT5_Aphelios_1","type":5,"block":2,"hp":650},{"name":"TFT5_Sejuani","disname":"U2000597_TFT5_Sejuani_4","type":5,"block":6,"hp":750},{"name":"TFT5_Karma","disname":"U2000967_TFT5_Karma_2","type":5,"block":7,"hp":700},{"name":"TFT5_Soraka","disname":"U2000485_TFT5_Soraka_2","type":5,"block":0,"hp":550},{"name":"TFT5_Riven","disname":"U2000739_TFT5_Riven_2","type":5,"block":3,"hp":850},{"name":"TFT5_Thresh","disname":"U2000654_TFT5_Thresh_1","type":5,"block":2,"hp":800},{"name":"TFT5_Poppy","disname":"U2000287_TFT5_Poppy_1","type":5,"block":2,"hp":1080},{"name":"TFT5_Rakan","disname":"U2000819_TFT5_Rakan_1","type":5,"block":0,"hp":800},{"name":"TFT5_Aatrox","disname":"U2000086_TFT5_Aatrox_1","type":5,"block":8,"hp":650},{"name":"TFT5_Poppy","disname":"U2000298_TFT5_Poppy_1","type":5,"block":8,"hp":600},{"name":"TFT5_Thresh","disname":"U2000665_TFT5_Thresh_9","type":5,"block":5,"hp":800},{"name":"TFT5_Vladimir","disname":"U2000208_TFT5_Vladimir_1","type":5,"block":3,"hp":650},{"name":"TFT5_Poppy","disname":"U2000276_TFT5_Poppy_2","type":5,"block":2,"hp":600},{"name":"TFT5_Hecarim","disname":"U2000539_TFT5_Hecarim_1","type":5,"block":3,"hp":750},{"name":"TFT5_Leona","disname":"U2000154_TFT5_Leona_1","type":5,"block":6,"hp":700},{"name":"TFT5_Thresh","disname":"U2000667_TFT5_Thresh_1","type":5,"block":6,"hp":800},{"name":"TFT5_Aatrox","disname":"U2000078_TFT5_Aatrox_12","type":5,"block":7,"hp":650},{"name":"TFT5_Udyr","disname":"U2000160_TFT5_Udyr_21","type":5,"block":7,"hp":1260},{"name":"TFT5_Vladimir","disname":"U2000202_TFT5_Vladimir_15","type":5,"block":7,"hp":650},{"name":"TFT5_Olaf","disname":"U2000414_TFT5_Olaf_19","type":5,"block":7,"hp":650},{"name":"TFT5_LeeSin","disname":"U2000762_TFT5_LeeSin_17","type":5,"block":7,"hp":850},{"name":"TFT5_Aatrox","disname":"U2000094_TFT5_Aatrox_18","type":5,"block":8,"hp":1170},{"name":"TFT5_Kled","disname":"U2000273_TFT5_Kled_20","type":5,"block":8,"hp":720},{"name":"TFT5_Poppy","disname":"U2000301_TFT5_Poppy_19","type":5,"block":8,"hp":1080},{"name":"TFT5_Ziggs","disname":"U2000334_TFT5_Ziggs_22","type":5,"block":8,"hp":810},{"name":"TFT5_Tristana","disname":"U2000721_TFT5_Tristana_15","type":5,"block":8,"hp":990},{"name":"TFT5_Lucian","disname":"U2000987_TFT5_Lucian_10","type":5,"block":8,"hp":800},{"name":"TFT5_Vayne","disname":"U2000108_TFT5_Vayne_18","type":5,"block":5,"hp":900},{"name":"TFT5_Leona","disname":"U2000149_TFT5_Leona_13","type":5,"block":5,"hp":1260},{"name":"TFT5_Varus","disname":"U2000470_TFT5_Varus_18","type":5,"block":5,"hp":1080},{"name":"TFT5_Syndra","disname":"U2000501_TFT5_Syndra_17","type":5,"block":5,"hp":1080},{"name":"TFT5_Hecarim","disname":"U2000559_TFT5_Hecarim_5","type":5,"block":5,"hp":1350},{"name":"TFT5_Draven","disname":"U2001077_TFT5_Draven_5","type":5,"block":5,"hp":700},{"name":"TFT5_Vayne","disname":"U2000102_TFT5_Vayne_19","type":5,"block":2,"hp":900},{"name":"TFT5_Poppy","disname":"U2000289_TFT5_Poppy_13","type":5,"block":2,"hp":1080},{"name":"TFT5_Hecarim","disname":"U2000548_TFT5_Hecarim_5","type":5,"block":2,"hp":1350},{"name":"TFT5_Sejuani","disname":"U2000601_TFT5_Sejuani_16","type":5,"block":2,"hp":1350},{"name":"TFT5_Thresh","disname":"U2000653_TFT5_Thresh_17","type":5,"block":2,"hp":800},{"name":"TFT5_Ziggs","disname":"U2000342_TFT5_Ziggs_14","type":5,"block":1,"hp":810},{"name":"TFT5_Kalista","disname":"U2000422_TFT5_Kalista_15","type":5,"block":1,"hp":900},{"name":"TFT5_Brand","disname":"U2000520_TFT5_Brand_17","type":5,"block":1,"hp":600},{"name":"TFT5_Brand","disname":"U2000536_TFT5_Brand_3","type":5,"block":1,"hp":600},{"name":"TFT5_Sejuani","disname":"U2000588_TFT5_Sejuani_7","type":5,"block":1,"hp":2550},{"name":"TFT5_Yasuo","disname":"U2000912_TFT5_Yasuo_17","type":5,"block":1,"hp":1440},{"name":"TFT5_Vladimir","disname":"U2000201_TFT5_Vladimir_22","type":5,"block":0,"hp":650},{"name":"TFT5_Khazix","disname":"U2000218_TFT5_Khazix_24","type":5,"block":0,"hp":500},{"name":"TFT5_Senna","disname":"U2000370_TFT5_Senna_21","type":5,"block":0,"hp":500},{"name":"TFT5_Kalista","disname":"U2000424_TFT5_Kalista_6","type":5,"block":0,"hp":500},{"name":"TFT5_Riven","disname":"U2000738_TFT5_Riven_9","type":5,"block":0,"hp":1000},{"name":"TFT5_Rakan","disname":"U2000813_TFT5_Rakan_17","type":5,"block":0,"hp":800},{"name":"TFT5_Vladimir","disname":"U2000189_TFT5_Vladimir_19","type":5,"block":3,"hp":1170},{"name":"TFT5_Olaf","disname":"U2000415_TFT5_Olaf_17","type":5,"block":3,"hp":2970},{"name":"TFT5_Hecarim","disname":"U2000557_TFT5_Hecarim_13","type":5,"block":3,"hp":1350},{"name":"TFT5_Sejuani","disname":"U2000600_TFT5_Sejuani_15","type":5,"block":3,"hp":1350},{"name":"TFT5_Riven","disname":"U2000746_TFT5_Riven_3","type":5,"block":3,"hp":850},{"name":"TFT5_Yasuo","disname":"U2000904_TFT5_Yasuo_11","type":5,"block":3,"hp":800},{"name":"TFT5_Leona","disname":"U2000146_TFT5_Leona_4","type":5,"block":6,"hp":1260},{"name":"TFT5_Kled","disname":"U2000247_TFT5_Kled_16","type":5,"block":6,"hp":400},{"name":"TFT5_Senna","disname":"U2000387_TFT5_Senna_12","type":5,"block":6,"hp":1050},{"name":"TFT5_Hecarim","disname":"U2000552_TFT5_Hecarim_12","type":5,"block":6,"hp":750},{"name":"TFT5_MissFortune","disname":"U2000921_TFT5_MissFortune_8","type":5,"block":6,"hp":1260},{"name":"TFT5_Galio","disname":"U2001027_TFT5_Galio_5","type":5,"block":6,"hp":1000},{"name":"TFT5_Hecarim","disname":"U2000560_TFT5_Hecarim_1","type":5,"block":6,"hp":750}]}</t>
  </si>
  <si>
    <t>{"success":true,"code":200,"msg":"鎴愬姛","data":["TFT5_Riven","TFT5_Lulu","TFT5_Khazix","TFT5_Lulu","TFT5_Udyr"]}</t>
  </si>
  <si>
    <t>{"success":true,"code":200,"msg":"鎴愬姛","data":[{"isme":true,"zt":5,"fit":0,"name":"TFTChampion","disname":"AlphaChess","type":3,"block":5,"hp":70},{"fit":1,"name":"TFTChampion","disname":"鍊惧煄鍗冭姵","type":3,"block":7,"hp":20},{"fit":2,"name":"TFTChampion","disname":"楹荤儲鏉ヤ竴鏉疢ojito","type":3,"block":8,"hp":0},{"fit":2,"name":"TFTChampion","disname":"鍗戝井蹇箰椋庣敺","type":3,"block":2,"hp":68},{"fit":2,"name":"TFTChampion","disname":"鍞旈涓嶆伅","type":3,"block":1,"hp":28},{"fit":3,"name":"TFTChampion","disname":"闃崇V鏄?,"type":3,"block":0,"hp":0},{"fit":1,"name":"TFTChampion","disname":"fiawad","type":3,"block":3,"hp":74},{"fit":2,"name":"TFTChampion","disname":"璇村惂鎵撹皝","type":3,"block":6,"hp":59},{"name":"TFT5_Leona","disname":"U2000143_TFT5_Leona_2","type":5,"block":7,"hp":700},{"name":"TFT5_Vladimir","disname":"U2000190_TFT5_Vladimir_1","type":5,"block":7,"hp":650},{"name":"TFT5_Sett","disname":"U2000680_TFT5_Sett_1","type":5,"block":1,"hp":1350},{"name":"TFT5_Sett","disname":"U2000676_TFT5_Sett_1","type":5,"block":7,"hp":750},{"name":"TFT5_Aatrox","disname":"U2000081_TFT5_Aatrox_1","type":5,"block":5,"hp":650},{"name":"TFT5_Nautilus","disname":"U2000646_TFT5_Nautilus_1","type":5,"block":6,"hp":750},{"name":"TFT5_Vladimir","disname":"U2000193_TFT5_Vladimir_1","type":5,"block":3,"hp":1170},{"name":"TFT5_Sejuani","disname":"U2000604_TFT5_Sejuani_1","type":5,"block":3,"hp":1350},{"name":"TFT5_Vayne","disname":"U2000117_TFT5_Vayne_1","type":5,"block":2,"hp":500},{"name":"TFT5_Vayne","disname":"U2000120_TFT5_Vayne_1","type":5,"block":2,"hp":500},{"name":"TFT5_Tristana","disname":"U2000725_TFT5_Tristana_1","type":5,"block":6,"hp":990},{"name":"TFT5_Sejuani","disname":"U2000598_TFT5_Sejuani_1","type":5,"block":2,"hp":750},{"name":"TFT5_Vayne","disname":"U2000127_TFT5_Vayne_4","type":5,"block":2,"hp":900},{"name":"TFT5_Leona","disname":"U2000147_TFT5_Leona_5","type":5,"block":6,"hp":1260},{"name":"TFT5_Karma","disname":"U2000967_TFT5_Karma_2","type":5,"block":7,"hp":700},{"name":"TFT5_Poppy","disname":"U2000287_TFT5_Poppy_1","type":5,"block":2,"hp":1080},{"name":"TFT5_Vladimir","disname":"U2000208_TFT5_Vladimir_1","type":5,"block":3,"hp":650},{"name":"TFT5_Poppy","disname":"U2000276_TFT5_Poppy_2","type":5,"block":2,"hp":600},{"name":"TFT5_Hecarim","disname":"U2000539_TFT5_Hecarim_1","type":5,"block":3,"hp":750},{"name":"TFT5_Leona","disname":"U2000154_TFT5_Leona_1","type":5,"block":6,"hp":700},{"name":"TFT5_Hecarim","disname":"U2000560_TFT5_Hecarim_1","type":5,"block":6,"hp":750},{"name":"TFT5_Rakan","disname":"U2000818_TFT5_Rakan_1","type":5,"block":5,"hp":800},{"name":"TFT5_Hecarim","disname":"U2000541_TFT5_Hecarim_1","type":5,"block":3,"hp":750},{"name":"TestCubeRender","disname":"TestCube","type":5,"block":1,"hp":100},{"name":"TestCubeRender","disname":"TestCube","type":5,"block":1,"hp":100},{"name":"TestCubeRender","disname":"TestCube","type":5,"block":1,"hp":100},{"name":"TestCubeRender","disname":"TestCube","type":5,"block":1,"hp":100},{"name":"TestCubeRender","disname":"TestCube","type":5,"block":1,"hp":100},{"name":"TestCubeRender","disname":"TestCube","type":5,"block":1,"hp":100},{"name":"TFT5_Sejuani","disname":"U2000594_TFT5_Sejuani_1","type":5,"block":2,"hp":750},{"name":"TFT5_Rell","disname":"U2000999_TFT5_Rell_1","type":5,"block":2,"hp":950},{"name":"TFT5_MissFortune","disname":"U2000929_TFT5_MissFortune_1","type":5,"block":6,"hp":700},{"name":"TFT5_Sejuani","disname":"U2000597_TFT5_Sejuani_6","type":5,"block":6,"hp":750},{"name":"TFT5_Thresh","disname":"U2000664_TFT5_Thresh_1","type":5,"block":3,"hp":800},{"name":"TFT5_Poppy","disname":"U2000295_TFT5_Poppy_1","type":5,"block":2,"hp":600},{"name":"TFT5_Galio","disname":"U2001037_TFT5_Galio_2","type":5,"block":5,"hp":1000},{"name":"TFT5_MissFortune","disname":"U2000935_TFT5_MissFortune_1","type":5,"block":5,"hp":700},{"name":"TFT5_Leona","disname":"U2000153_TFT5_Leona_1","type":5,"block":6,"hp":700},{"name":"TFT5_Galio","disname":"U2001034_TFT5_Galio_1","type":5,"block":6,"hp":1000},{"name":"TFT5_Draven","disname":"U2001079_TFT5_Draven_1","type":5,"block":3,"hp":700},{"name":"TFT5_Aatrox","disname":"U2000078_TFT5_Aatrox_16","type":5,"block":7,"hp":650},{"name":"TFT5_Leona","disname":"U2000132_TFT5_Leona_3","type":5,"block":7,"hp":700},{"name":"TFT5_Udyr","disname":"U2000160_TFT5_Udyr_25","type":5,"block":7,"hp":1260},{"name":"TFT5_Vladimir","disname":"U2000202_TFT5_Vladimir_19","type":5,"block":7,"hp":650},{"name":"TFT5_Olaf","disname":"U2000414_TFT5_Olaf_23","type":5,"block":7,"hp":650},{"name":"TFT5_LeeSin","disname":"U2000762_TFT5_LeeSin_21","type":5,"block":7,"hp":850},{"name":"TFT5_Vayne","disname":"U2000108_TFT5_Vayne_22","type":5,"block":5,"hp":900},{"name":"TFT5_Leona","disname":"U2000149_TFT5_Leona_17","type":5,"block":5,"hp":1260},{"name":"TFT5_Varus","disname":"U2000470_TFT5_Varus_22","type":5,"block":5,"hp":1080},{"name":"TFT5_Syndra","disname":"U2000501_TFT5_Syndra_21","type":5,"block":5,"hp":1080},{"name":"TFT5_Hecarim","disname":"U2000559_TFT5_Hecarim_9","type":5,"block":5,"hp":1350},{"name":"TFT5_Thresh","disname":"U2000665_TFT5_Thresh_12","type":5,"block":5,"hp":800},{"name":"TFT5_Draven","disname":"U2001077_TFT5_Draven_9","type":5,"block":5,"hp":700},{"name":"TFT5_Vayne","disname":"U2000102_TFT5_Vayne_22","type":5,"block":2,"hp":900},{"name":"TFT5_Poppy","disname":"U2000289_TFT5_Poppy_16","type":5,"block":2,"hp":1080},{"name":"TFT5_Hecarim","disname":"U2000548_TFT5_Hecarim_8","type":5,"block":2,"hp":1350},{"name":"TFT5_Sejuani","disname":"U2000601_TFT5_Sejuani_19","type":5,"block":2,"hp":1500},{"name":"TFT5_Thresh","disname":"U2000653_TFT5_Thresh_20","type":5,"block":2,"hp":1440},{"name":"TFT5_Aphelios","disname":"U2001057_TFT5_Aphelios_4","type":5,"block":2,"hp":650},{"name":"TFT5_Ziggs","disname":"U2000342_TFT5_Ziggs_18","type":5,"block":1,"hp":810},{"name":"TFT5_Kalista","disname":"U2000422_TFT5_Kalista_19","type":5,"block":1,"hp":900},{"name":"TFT5_Brand","disname":"U2000536_TFT5_Brand_7","type":5,"block":1,"hp":1080},{"name":"TFT5_Sejuani","disname":"U2000588_TFT5_Sejuani_11","type":5,"block":1,"hp":2950},{"name":"TFT5_Sejuani","disname":"U2000603_TFT5_Sejuani_5","type":5,"block":1,"hp":1150},{"name":"TFT5_Nunu","disname":"U2000873_TFT5_Nunu_4","type":5,"block":1,"hp":1450},{"name":"TFT5_Nunu","disname":"U2000874_TFT5_Nunu_3","type":5,"block":1,"hp":1300},{"name":"TFT5_Yasuo","disname":"U2000912_TFT5_Yasuo_21","type":5,"block":1,"hp":1440},{"name":"TFT5_Vladimir","disname":"U2000189_TFT5_Vladimir_23","type":5,"block":3,"hp":1170},{"name":"TFT5_Olaf","disname":"U2000415_TFT5_Olaf_21","type":5,"block":3,"hp":2970},{"name":"TFT5_Hecarim","disname":"U2000557_TFT5_Hecarim_17","type":5,"block":3,"hp":1350},{"name":"TFT5_Sejuani","disname":"U2000600_TFT5_Sejuani_19","type":5,"block":3,"hp":1350},{"name":"TFT5_Thresh","disname":"U2000659_TFT5_Thresh_5","type":5,"block":3,"hp":1440},{"name":"TFT5_Yasuo","disname":"U2000904_TFT5_Yasuo_15","type":5,"block":3,"hp":1440},{"name":"TFT5_Leona","disname":"U2000146_TFT5_Leona_9","type":5,"block":6,"hp":1260},{"name":"TFT5_Kled","disname":"U2000261_TFT5_Kled_5","type":5,"block":6,"hp":400},{"name":"TFT5_Senna","disname":"U2000387_TFT5_Senna_17","type":5,"block":6,"hp":1050},{"name":"TFT5_Hecarim","disname":"U2000552_TFT5_Hecarim_17","type":5,"block":6,"hp":750},{"name":"TFT5_MissFortune","disname":"U2000921_TFT5_MissFortune_13","type":5,"block":6,"hp":1260},{"name":"TFT5_Jax","disname":"U2000959_TFT5_Jax_3","type":5,"block":6,"hp":1000},{"name":"TFT5_Galio","disname":"U2001027_TFT5_Galio_10","type":5,"block":6,"hp":1000},{"name":"TFT5_Sejuani","disname":"U2000591_TFT5_Sejuani_1","type":5,"block":3,"hp":750}]}</t>
  </si>
  <si>
    <t>{"success":true,"code":200,"msg":"鎴愬姛","data":["TFT5_Thresh","TFT5_Syndra","TFT5_Tristana","TFT5_Jax","TFT5_Velkoz"]}</t>
  </si>
  <si>
    <t>{"success":true,"code":200,"msg":"鎴愬姛","data":[{"isme":true,"zt":5,"fit":0,"name":"TFTChampion","disname":"AlphaChess","type":3,"block":5,"hp":70},{"fit":1,"name":"TFTChampion","disname":"鍊惧煄鍗冭姵","type":3,"block":7,"hp":4},{"fit":2,"name":"TFTChampion","disname":"楹荤儲鏉ヤ竴鏉疢ojito","type":3,"block":8,"hp":0},{"fit":2,"name":"TFTChampion","disname":"鍗戝井蹇箰椋庣敺","type":3,"block":2,"hp":55},{"fit":2,"name":"TFTChampion","disname":"鍞旈涓嶆伅","type":3,"block":1,"hp":28},{"fit":3,"name":"TFTChampion","disname":"闃崇V鏄?,"type":3,"block":0,"hp":0},{"fit":2,"name":"TFTChampion","disname":"fiawad","type":3,"block":3,"hp":61},{"fit":2,"name":"TFTChampion","disname":"璇村惂鎵撹皝","type":3,"block":6,"hp":59},{"name":"TFT5_Leona","disname":"U2000143_TFT5_Leona_2","type":5,"block":7,"hp":700},{"name":"TFT5_Vladimir","disname":"U2000190_TFT5_Vladimir_1","type":5,"block":7,"hp":650},{"name":"TFT5_Sett","disname":"U2000676_TFT5_Sett_1","type":5,"block":7,"hp":750},{"name":"TFT5_Aatrox","disname":"U2000081_TFT5_Aatrox_1","type":5,"block":5,"hp":650},{"name":"TFT5_Sejuani","disname":"U2000604_TFT5_Sejuani_1","type":5,"block":3,"hp":1350},{"name":"TFT5_Leona","disname":"U2000147_TFT5_Leona_5","type":5,"block":6,"hp":1260},{"name":"TFT5_Karma","disname":"U2000967_TFT5_Karma_2","type":5,"block":7,"hp":700},{"name":"TFT5_Poppy","disname":"U2000287_TFT5_Poppy_1","type":5,"block":2,"hp":1080},{"name":"TFT5_Poppy","disname":"U2000276_TFT5_Poppy_2","type":5,"block":2,"hp":600},{"name":"TFT5_Hecarim","disname":"U2000539_TFT5_Hecarim_1","type":5,"block":3,"hp":750},{"name":"TFT5_Leona","disname":"U2000154_TFT5_Leona_1","type":5,"block":6,"hp":700},{"name":"TFT5_Rakan","disname":"U2000818_TFT5_Rakan_1","type":5,"block":5,"hp":800},{"name":"TFT5_Hecarim","disname":"U2000541_TFT5_Hecarim_1","type":5,"block":3,"hp":750},{"name":"TestCubeRender","disname":"TestCube","type":5,"block":1,"hp":100},{"name":"TestCubeRender","disname":"TestCube","type":5,"block":1,"hp":100},{"name":"TestCubeRender","disname":"TestCube","type":5,"block":1,"hp":100},{"name":"TestCubeRender","disname":"TestCube","type":5,"block":1,"hp":100},{"name":"TestCubeRender","disname":"TestCube","type":5,"block":1,"hp":100},{"name":"TestCubeRender","disname":"TestCube","type":5,"block":1,"hp":100},{"name":"TFT5_Sejuani","disname":"U2000594_TFT5_Sejuani_1","type":5,"block":2,"hp":1350},{"name":"TFT5_MissFortune","disname":"U2000929_TFT5_MissFortune_1","type":5,"block":6,"hp":700},{"name":"TFT5_Sejuani","disname":"U2000597_TFT5_Sejuani_6","type":5,"block":6,"hp":750},{"name":"TFT5_Thresh","disname":"U2000664_TFT5_Thresh_1","type":5,"block":3,"hp":800},{"name":"TFT5_Poppy","disname":"U2000295_TFT5_Poppy_1","type":5,"block":2,"hp":600},{"name":"TFT5_Galio","disname":"U2001037_TFT5_Galio_2","type":5,"block":5,"hp":1000},{"name":"TFT5_Leona","disname":"U2000153_TFT5_Leona_1","type":5,"block":6,"hp":700},{"name":"TFT5_Galio","disname":"U2001034_TFT5_Galio_1","type":5,"block":6,"hp":1000},{"name":"TFT5_Draven","disname":"U2001079_TFT5_Draven_1","type":5,"block":3,"hp":700},{"name":"TFT5_Thresh","disname":"U2000665_TFT5_Thresh_12","type":5,"block":5,"hp":800},{"name":"TFT5_Sejuani","disname":"U2000591_TFT5_Sejuani_1","type":5,"block":3,"hp":750},{"name":"TFT5_LeeSin","disname":"U2000758_TFT5_LeeSin_1","type":5,"block":3,"hp":850},{"name":"TFT5_Hecarim","disname":"U2000553_TFT5_Hecarim_1","type":5,"block":2,"hp":750},{"name":"TFT5_Jax","disname":"U2000964_TFT5_Jax_1","type":5,"block":6,"hp":1800},{"name":"TFT5_Hecarim","disname":"U2000545_TFT5_Hecarim_1","type":5,"block":2,"hp":750},{"name":"TFT5_MissFortune","disname":"U2000919_TFT5_MissFortune_1","type":5,"block":6,"hp":700},{"name":"TFT5_Aatrox","disname":"U2000078_TFT5_Aatrox_18","type":5,"block":7,"hp":650},{"name":"TFT5_Leona","disname":"U2000132_TFT5_Leona_5","type":5,"block":7,"hp":700},{"name":"TFT5_Udyr","disname":"U2000160_TFT5_Udyr_27","type":5,"block":7,"hp":1260},{"name":"TFT5_Vladimir","disname":"U2000202_TFT5_Vladimir_21","type":5,"block":7,"hp":650},{"name":"TFT5_Olaf","disname":"U2000414_TFT5_Olaf_25","type":5,"block":7,"hp":650},{"name":"TFT5_LeeSin","disname":"U2000762_TFT5_LeeSin_23","type":5,"block":7,"hp":850},{"name":"TFT5_Vayne","disname":"U2000108_TFT5_Vayne_23","type":5,"block":5,"hp":900},{"name":"TFT5_Leona","disname":"U2000149_TFT5_Leona_18","type":5,"block":5,"hp":1260},{"name":"TFT5_Varus","disname":"U2000470_TFT5_Varus_23","type":5,"block":5,"hp":1080},{"name":"TFT5_Syndra","disname":"U2000501_TFT5_Syndra_22","type":5,"block":5,"hp":1080},{"name":"TFT5_Hecarim","disname":"U2000559_TFT5_Hecarim_10","type":5,"block":5,"hp":1350},{"name":"TFT5_MissFortune","disname":"U2000935_TFT5_MissFortune_2","type":5,"block":5,"hp":700},{"name":"TFT5_Draven","disname":"U2001077_TFT5_Draven_10","type":5,"block":5,"hp":700},{"name":"TFT5_Vayne","disname":"U2000102_TFT5_Vayne_23","type":5,"block":2,"hp":1620},{"name":"TFT5_Poppy","disname":"U2000289_TFT5_Poppy_17","type":5,"block":2,"hp":1080},{"name":"TFT5_Hecarim","disname":"U2000548_TFT5_Hecarim_9","type":5,"block":2,"hp":1350},{"name":"TFT5_Sejuani","disname":"U2000601_TFT5_Sejuani_20","type":5,"block":2,"hp":1500},{"name":"TFT5_Thresh","disname":"U2000653_TFT5_Thresh_21","type":5,"block":2,"hp":1440},{"name":"TFT5_Aphelios","disname":"U2001057_TFT5_Aphelios_5","type":5,"block":2,"hp":650},{"name":"TFT5_Ziggs","disname":"U2000342_TFT5_Ziggs_20","type":5,"block":1,"hp":810},{"name":"TFT5_Kalista","disname":"U2000422_TFT5_Kalista_21","type":5,"block":1,"hp":900},{"name":"TFT5_Brand","disname":"U2000536_TFT5_Brand_9","type":5,"block":1,"hp":1080},{"name":"TFT5_Sejuani","disname":"U2000588_TFT5_Sejuani_13","type":5,"block":1,"hp":3550},{"name":"TFT5_Sett","disname":"U2000680_TFT5_Sett_3","type":5,"block":1,"hp":1750},{"name":"TFT5_Nunu","disname":"U2000871_TFT5_Nunu_3","type":5,"block":1,"hp":1300},{"name":"TFT5_Nunu","disname":"U2000874_TFT5_Nunu_5","type":5,"block":1,"hp":2170},{"name":"TFT5_Yasuo","disname":"U2000912_TFT5_Yasuo_23","type":5,"block":1,"hp":1440},{"name":"TFT5_Vladimir","disname":"U2000189_TFT5_Vladimir_25","type":5,"block":3,"hp":1170},{"name":"TFT5_Olaf","disname":"U2000415_TFT5_Olaf_23","type":5,"block":3,"hp":2970},{"name":"TFT5_Hecarim","disname":"U2000557_TFT5_Hecarim_19","type":5,"block":3,"hp":1350},{"name":"TFT5_Sejuani","disname":"U2000600_TFT5_Sejuani_21","type":5,"block":3,"hp":1350},{"name":"TFT5_Thresh","disname":"U2000659_TFT5_Thresh_7","type":5,"block":3,"hp":1440},{"name":"TFT5_Yasuo","disname":"U2000904_TFT5_Yasuo_17","type":5,"block":3,"hp":1440},{"name":"TFT5_Leona","disname":"U2000146_TFT5_Leona_10","type":5,"block":6,"hp":1260},{"name":"TFT5_Kled","disname":"U2000261_TFT5_Kled_6","type":5,"block":6,"hp":400},{"name":"TFT5_Senna","disname":"U2000387_TFT5_Senna_18","type":5,"block":6,"hp":1050},{"name":"TFT5_Hecarim","disname":"U2000552_TFT5_Hecarim_18","type":5,"block":6,"hp":750},{"name":"TFT5_Tristana","disname":"U2000725_TFT5_Tristana_2","type":5,"block":6,"hp":990},{"name":"TFT5_MissFortune","disname":"U2000921_TFT5_MissFortune_14","type":5,"block":6,"hp":1260},{"name":"TFT5_Lucian","disname":"U2000983_TFT5_Lucian_2","type":5,"block":6,"hp":800},{"name":"TFT5_Galio","disname":"U2001027_TFT5_Galio_11","type":5,"block":6,"hp":1000},{"name":"TFT5_Ivern","disname":"U2001045_TFT5_Ivern_2","type":5,"block":7,"hp":950},{"name":"TFT5_Viego","disname":"U2001088_TFT5_Viego_2","type":5,"block":5,"hp":1000},{"name":"TFT5_Rell","disname":"U2000991_TFT5_Rell_2","type":5,"block":2,"hp":950},{"name":"TFT5_Nunu","disname":"U2000866_TFT5_Nunu_3","type":5,"block":1,"hp":900},{"name":"TFT5_Akshan","disname":"U2001148_TFT5_Akshan_2","type":5,"block":3,"hp":850},{"name":"TFT5_Thresh","disname":"U2000652_TFT5_Thresh_1","type":5,"block":2,"hp":800},{"name":"TFT5_Nautilus","disname":"U2000646_TFT5_Nautilus_4","type":5,"block":6,"hp":750},{"name":"TFT5_Thresh","disname":"U2000669_TFT5_Thresh_1","type":5,"block":2,"hp":800}]}</t>
  </si>
  <si>
    <t>{"success":true,"code":200,"msg":"鎴愬姛","data":["TFT5_Soraka","TFT5_Jax","TFT5_Zyra","TFT5_Lulu","TFT5_Galio"]}</t>
  </si>
  <si>
    <t>{"success":true,"code":200,"msg":"鎴愬姛","data":[{"isme":true,"zt":5,"fit":0,"name":"TFTChampion","disname":"AlphaChess","type":3,"block":5,"hp":61},{"fit":1,"name":"TFTChampion","disname":"鍊惧煄鍗冭姵","type":3,"block":7,"hp":0},{"fit":2,"name":"TFTChampion","disname":"楹荤儲鏉ヤ竴鏉疢ojito","type":3,"block":8,"hp":0},{"fit":3,"name":"TFTChampion","disname":"鍗戝井蹇箰椋庣敺","type":3,"block":2,"hp":55},{"fit":2,"name":"TFTChampion","disname":"鍞旈涓嶆伅","type":3,"block":1,"hp":21},{"fit":3,"name":"TFTChampion","disname":"闃崇V鏄?,"type":3,"block":0,"hp":0},{"fit":2,"name":"TFTChampion","disname":"fiawad","type":3,"block":3,"hp":61},{"fit":2,"name":"TFTChampion","disname":"璇村惂鎵撹皝","type":3,"block":6,"hp":59},{"name":"TFT5_Sejuani","disname":"U2000604_TFT5_Sejuani_1","type":5,"block":3,"hp":1350},{"name":"TFT5_Poppy","disname":"U2000287_TFT5_Poppy_1","type":5,"block":2,"hp":1080},{"name":"TFT5_Poppy","disname":"U2000276_TFT5_Poppy_2","type":5,"block":2,"hp":1080},{"name":"TFT5_Hecarim","disname":"U2000539_TFT5_Hecarim_1","type":5,"block":3,"hp":750},{"name":"TFT5_Rakan","disname":"U2000818_TFT5_Rakan_1","type":5,"block":5,"hp":800},{"name":"TFT5_Hecarim","disname":"U2000541_TFT5_Hecarim_1","type":5,"block":3,"hp":750},{"name":"TestCubeRender","disname":"TestCube","type":5,"block":1,"hp":100},{"name":"TestCubeRender","disname":"TestCube","type":5,"block":1,"hp":100},{"name":"TestCubeRender","disname":"TestCube","type":5,"block":1,"hp":100},{"name":"TestCubeRender","disname":"TestCube","type":5,"block":1,"hp":100},{"name":"TestCubeRender","disname":"TestCube","type":5,"block":1,"hp":100},{"name":"TestCubeRender","disname":"TestCube","type":5,"block":1,"hp":100},{"name":"TFT5_Sejuani","disname":"U2000594_TFT5_Sejuani_1","type":5,"block":2,"hp":1350},{"name":"TFT5_MissFortune","disname":"U2000929_TFT5_MissFortune_1","type":5,"block":6,"hp":700},{"name":"TFT5_Sejuani","disname":"U2000597_TFT5_Sejuani_6","type":5,"block":6,"hp":750},{"name":"TFT5_Thresh","disname":"U2000664_TFT5_Thresh_1","type":5,"block":3,"hp":800},{"name":"TFT5_Galio","disname":"U2001037_TFT5_Galio_2","type":5,"block":5,"hp":1000},{"name":"TFT5_Galio","disname":"U2001034_TFT5_Galio_1","type":5,"block":6,"hp":1000},{"name":"TFT5_Draven","disname":"U2001079_TFT5_Draven_1","type":5,"block":3,"hp":700},{"name":"TFT5_Thresh","disname":"U2000665_TFT5_Thresh_12","type":5,"block":5,"hp":800},{"name":"TFT5_Sejuani","disname":"U2000591_TFT5_Sejuani_1","type":5,"block":3,"hp":750},{"name":"TFT5_LeeSin","disname":"U2000758_TFT5_LeeSin_1","type":5,"block":3,"hp":850},{"name":"TFT5_Hecarim","disname":"U2000553_TFT5_Hecarim_1","type":5,"block":2,"hp":750},{"name":"TFT5_Jax","disname":"U2000964_TFT5_Jax_1","type":5,"block":6,"hp":1800},{"name":"TFT5_Hecarim","disname":"U2000545_TFT5_Hecarim_1","type":5,"block":2,"hp":750},{"name":"TFT5_MissFortune","disname":"U2000919_TFT5_MissFortune_1","type":5,"block":6,"hp":700},{"name":"TFT5_Viego","disname":"U2001088_TFT5_Viego_2","type":5,"block":5,"hp":1000},{"name":"TFT5_Rell","disname":"U2000991_TFT5_Rell_2","type":5,"block":2,"hp":950},{"name":"TFT5_Nunu","disname":"U2000866_TFT5_Nunu_3","type":5,"block":1,"hp":900},{"name":"TFT5_Thresh","disname":"U2000652_TFT5_Thresh_1","type":5,"block":2,"hp":800},{"name":"TFT5_Nautilus","disname":"U2000646_TFT5_Nautilus_4","type":5,"block":6,"hp":750},{"name":"TFT5_Thresh","disname":"U2000669_TFT5_Thresh_1","type":5,"block":2,"hp":800},{"name":"TFT5_Diana","disname":"U2001026_TFT5_Diana_1","type":5,"block":3,"hp":750},{"name":"TFT5_Aphelios","disname":"U2001051_TFT5_Aphelios_1","type":5,"block":3,"hp":650},{"name":"TFT5_Rell","disname":"U2000999_TFT5_Rell_2","type":5,"block":6,"hp":950},{"name":"TFT5_Vayne","disname":"U2000108_TFT5_Vayne_24","type":5,"block":5,"hp":900},{"name":"TFT5_Leona","disname":"U2000149_TFT5_Leona_19","type":5,"block":5,"hp":1260},{"name":"TFT5_Varus","disname":"U2000470_TFT5_Varus_24","type":5,"block":5,"hp":1080},{"name":"TFT5_Syndra","disname":"U2000501_TFT5_Syndra_23","type":5,"block":5,"hp":1080},{"name":"TFT5_Hecarim","disname":"U2000559_TFT5_Hecarim_11","type":5,"block":5,"hp":1350},{"name":"TFT5_MissFortune","disname":"U2000935_TFT5_MissFortune_3","type":5,"block":5,"hp":700},{"name":"TFT5_Draven","disname":"U2001077_TFT5_Draven_11","type":5,"block":5,"hp":700},{"name":"TFT5_Vayne","disname":"U2000102_TFT5_Vayne_25","type":5,"block":2,"hp":1620},{"name":"TFT5_Poppy","disname":"U2000289_TFT5_Poppy_19","type":5,"block":2,"hp":1080},{"name":"TFT5_Hecarim","disname":"U2000548_TFT5_Hecarim_11","type":5,"block":2,"hp":1350},{"name":"TFT5_Sejuani","disname":"U2000601_TFT5_Sejuani_22","type":5,"block":2,"hp":1500},{"name":"TFT5_Thresh","disname":"U2000653_TFT5_Thresh_23","type":5,"block":2,"hp":1440},{"name":"TFT5_Aphelios","disname":"U2001057_TFT5_Aphelios_7","type":5,"block":2,"hp":650},{"name":"TFT5_Ziggs","disname":"U2000342_TFT5_Ziggs_21","type":5,"block":1,"hp":810},{"name":"TFT5_Kalista","disname":"U2000422_TFT5_Kalista_22","type":5,"block":1,"hp":900},{"name":"TFT5_Brand","disname":"U2000536_TFT5_Brand_10","type":5,"block":1,"hp":1080},{"name":"TFT5_Sejuani","disname":"U2000588_TFT5_Sejuani_14","type":5,"block":1,"hp":3550},{"name":"TFT5_Sett","disname":"U2000680_TFT5_Sett_4","type":5,"block":1,"hp":1750},{"name":"TFT5_Nunu","disname":"U2000871_TFT5_Nunu_4","type":5,"block":1,"hp":1300},{"name":"TFT5_Nunu","disname":"U2000874_TFT5_Nunu_6","type":5,"block":1,"hp":2170},{"name":"TFT5_Yasuo","disname":"U2000912_TFT5_Yasuo_24","type":5,"block":1,"hp":1440},{"name":"TFT5_Vladimir","disname":"U2000189_TFT5_Vladimir_26","type":5,"block":3,"hp":1170},{"name":"TFT5_Olaf","disname":"U2000415_TFT5_Olaf_24","type":5,"block":3,"hp":2970},{"name":"TFT5_Hecarim","disname":"U2000557_TFT5_Hecarim_20","type":5,"block":3,"hp":1350},{"name":"TFT5_Sejuani","disname":"U2000600_TFT5_Sejuani_22","type":5,"block":3,"hp":1350},{"name":"TFT5_Thresh","disname":"U2000659_TFT5_Thresh_8","type":5,"block":3,"hp":1440},{"name":"TFT5_Yasuo","disname":"U2000904_TFT5_Yasuo_18","type":5,"block":3,"hp":1440},{"name":"TFT5_Leona","disname":"U2000146_TFT5_Leona_12","type":5,"block":6,"hp":2268},{"name":"TFT5_Kled","disname":"U2000261_TFT5_Kled_8","type":5,"block":6,"hp":400},{"name":"TFT5_Senna","disname":"U2000387_TFT5_Senna_20","type":5,"block":6,"hp":1050},{"name":"TFT5_Hecarim","disname":"U2000552_TFT5_Hecarim_20","type":5,"block":6,"hp":750},{"name":"TFT5_Tristana","disname":"U2000725_TFT5_Tristana_4","type":5,"block":6,"hp":990},{"name":"TFT5_MissFortune","disname":"U2000921_TFT5_MissFortune_16","type":5,"block":6,"hp":1260},{"name":"TFT5_Lucian","disname":"U2000983_TFT5_Lucian_4","type":5,"block":6,"hp":800},{"name":"TFT5_Galio","disname":"U2001027_TFT5_Galio_13","type":5,"block":6,"hp":1000}]}</t>
  </si>
  <si>
    <t>{"success":true,"code":200,"msg":"鎴愬姛","data":["TFT5_Zyra","TFT5_Kled","TFT5_Kennen","TFT5_Sett","TFT5_Nunu"]}</t>
  </si>
  <si>
    <t>{"success":true,"code":200,"msg":"鎴愬姛","data":[{"isme":true,"zt":5,"fit":0,"name":"TFTChampion","disname":"AlphaChess","type":3,"block":5,"hp":48},{"fit":1,"name":"TFTChampion","disname":"鍊惧煄鍗冭姵","type":3,"block":7,"hp":0},{"fit":2,"name":"TFTChampion","disname":"楹荤儲鏉ヤ竴鏉疢ojito","type":3,"block":8,"hp":0},{"fit":3,"name":"TFTChampion","disname":"鍗戝井蹇箰椋庣敺","type":3,"block":2,"hp":20},{"fit":3,"name":"TFTChampion","disname":"鍞旈涓嶆伅","type":3,"block":1,"hp":10},{"fit":3,"name":"TFTChampion","disname":"闃崇V鏄?,"type":3,"block":0,"hp":0},{"fit":3,"name":"TFTChampion","disname":"fiawad","type":3,"block":3,"hp":12},{"fit":3,"name":"TFTChampion","disname":"璇村惂鎵撹皝","type":3,"block":6,"hp":59},{"name":"TFT5_Hecarim","disname":"U2000539_TFT5_Hecarim_1","type":5,"block":3,"hp":750},{"name":"TFT5_Hecarim","disname":"U2000541_TFT5_Hecarim_1","type":5,"block":3,"hp":750},{"name":"TFT5_Sejuani","disname":"U2000594_TFT5_Sejuani_1","type":5,"block":2,"hp":1350},{"name":"TFT5_MissFortune","disname":"U2000929_TFT5_MissFortune_1","type":5,"block":6,"hp":700},{"name":"TFT5_Sejuani","disname":"U2000597_TFT5_Sejuani_6","type":5,"block":6,"hp":750},{"name":"TFT5_Thresh","disname":"U2000664_TFT5_Thresh_1","type":5,"block":3,"hp":800},{"name":"TFT5_Galio","disname":"U2001037_TFT5_Galio_2","type":5,"block":5,"hp":1000},{"name":"TFT5_LeeSin","disname":"U2000758_TFT5_LeeSin_1","type":5,"block":3,"hp":850},{"name":"TFT5_Hecarim","disname":"U2000553_TFT5_Hecarim_1","type":5,"block":2,"hp":1350},{"name":"TFT5_MissFortune","disname":"U2000919_TFT5_MissFortune_1","type":5,"block":6,"hp":700},{"name":"TFT5_Rell","disname":"U2000991_TFT5_Rell_2","type":5,"block":2,"hp":950},{"name":"TFT5_Nautilus","disname":"U2000646_TFT5_Nautilus_4","type":5,"block":6,"hp":750},{"name":"TFT5_Diana","disname":"U2001026_TFT5_Diana_1","type":5,"block":3,"hp":750},{"name":"TFT5_Aphelios","disname":"U2001051_TFT5_Aphelios_1","type":5,"block":3,"hp":650},{"name":"TFT5_Kled","disname":"U2000261_TFT5_Kled_8","type":5,"block":6,"hp":400},{"name":"TFT5_Hecarim","disname":"U2000552_TFT5_Hecarim_20","type":5,"block":6,"hp":750},{"name":"TFT5_Rell","disname":"U2000998_TFT5_Rell_1","type":5,"block":6,"hp":950},{"name":"TFT5_Thresh","disname":"U2000657_TFT5_Thresh_1","type":5,"block":3,"hp":800},{"name":"TFT5_Aphelios","disname":"U2001059_TFT5_Aphelios_1","type":5,"block":2,"hp":650},{"name":"TFT5_Lucian","disname":"U2000979_TFT5_Lucian_1","type":5,"block":6,"hp":800},{"name":"TFT5_LeeSin","disname":"U2000770_TFT5_LeeSin_2","type":5,"block":3,"hp":850},{"name":"TFT5_Thresh","disname":"U2000665_TFT5_Thresh_15","type":5,"block":5,"hp":800},{"name":"TFT5_MissFortune","disname":"U2000935_TFT5_MissFortune_6","type":5,"block":5,"hp":700},{"name":"TFT5_Garen","disname":"U2001133_TFT5_Garen_1","type":5,"block":6,"hp":1050},{"name":"TFT5_Draven","disname":"U2001080_TFT5_Draven_1","type":5,"block":3,"hp":700},{"name":"TFT5_Sejuani","disname":"U2000592_TFT5_Sejuani_2","type":5,"block":2,"hp":750},{"name":"TFT5_Hecarim","disname":"U2000542_TFT5_Hecarim_1","type":5,"block":2,"hp":750},{"name":"TFT5_Sejuani","disname":"U2000602_TFT5_Sejuani_3","type":5,"block":2,"hp":750},{"name":"TFT5_Vayne","disname":"U2000108_TFT5_Vayne_30","type":5,"block":5,"hp":900},{"name":"TFT5_Leona","disname":"U2000149_TFT5_Leona_24","type":5,"block":5,"hp":1260},{"name":"TFT5_Varus","disname":"U2000470_TFT5_Varus_30","type":5,"block":5,"hp":1080},{"name":"TFT5_Syndra","disname":"U2000501_TFT5_Syndra_29","type":5,"block":5,"hp":1080},{"name":"TFT5_Hecarim","disname":"U2000559_TFT5_Hecarim_17","type":5,"block":5,"hp":1350},{"name":"TFT5_Rell","disname":"U2001001_TFT5_Rell_4","type":5,"block":5,"hp":950},{"name":"TFT5_Draven","disname":"U2001077_TFT5_Draven_17","type":5,"block":5,"hp":700},{"name":"TFT5_Viego","disname":"U2001088_TFT5_Viego_6","type":5,"block":5,"hp":1000},{"name":"TFT5_Vayne","disname":"U2000102_TFT5_Vayne_29","type":5,"block":2,"hp":1620},{"name":"TFT5_Poppy","disname":"U2000289_TFT5_Poppy_23","type":5,"block":2,"hp":1944},{"name":"TFT5_Hecarim","disname":"U2000548_TFT5_Hecarim_15","type":5,"block":2,"hp":1350},{"name":"TFT5_Sejuani","disname":"U2000601_TFT5_Sejuani_26","type":5,"block":2,"hp":1500},{"name":"TFT5_Thresh","disname":"U2000653_TFT5_Thresh_27","type":5,"block":2,"hp":2592},{"name":"TFT5_Aphelios","disname":"U2001057_TFT5_Aphelios_11","type":5,"block":2,"hp":650},{"name":"TFT5_Ziggs","disname":"U2000342_TFT5_Ziggs_25","type":5,"block":1,"hp":810},{"name":"TFT5_Kalista","disname":"U2000422_TFT5_Kalista_26","type":5,"block":1,"hp":900},{"name":"TFT5_Brand","disname":"U2000536_TFT5_Brand_14","type":5,"block":1,"hp":1080},{"name":"TFT5_Sejuani","disname":"U2000588_TFT5_Sejuani_18","type":5,"block":1,"hp":3550},{"name":"TFT5_Sett","disname":"U2000680_TFT5_Sett_8","type":5,"block":1,"hp":1750},{"name":"TFT5_Nunu","disname":"U2000871_TFT5_Nunu_8","type":5,"block":1,"hp":2020},{"name":"TFT5_Nunu","disname":"U2000874_TFT5_Nunu_10","type":5,"block":1,"hp":2170},{"name":"TFT5_Yasuo","disname":"U2000912_TFT5_Yasuo_28","type":5,"block":1,"hp":1440},{"name":"TFT5_Vladimir","disname":"U2000189_TFT5_Vladimir_32","type":5,"block":3,"hp":1170},{"name":"TFT5_Hecarim","disname":"U2000557_TFT5_Hecarim_26","type":5,"block":3,"hp":1350},{"name":"TFT5_Sejuani","disname":"U2000600_TFT5_Sejuani_28","type":5,"block":3,"hp":1350},{"name":"TFT5_Thresh","disname":"U2000659_TFT5_Thresh_14","type":5,"block":3,"hp":3390},{"name":"TFT5_Yasuo","disname":"U2000904_TFT5_Yasuo_24","type":5,"block":3,"hp":1440},{"name":"TFT5_Draven","disname":"U2001079_TFT5_Draven_7","type":5,"block":3,"hp":700},{"name":"TFT5_Leona","disname":"U2000146_TFT5_Leona_18","type":5,"block":6,"hp":2268},{"name":"TFT5_Senna","disname":"U2000387_TFT5_Senna_26","type":5,"block":6,"hp":1050},{"name":"TFT5_Tristana","disname":"U2000725_TFT5_Tristana_10","type":5,"block":6,"hp":990},{"name":"TFT5_MissFortune","disname":"U2000921_TFT5_MissFortune_22","type":5,"block":6,"hp":1260},{"name":"TFT5_Jax","disname":"U2000964_TFT5_Jax_7","type":5,"block":6,"hp":1800},{"name":"TFT5_Lucian","disname":"U2000983_TFT5_Lucian_10","type":5,"block":6,"hp":800},{"name":"TFT5_Rell","disname":"U2000999_TFT5_Rell_8","type":5,"block":6,"hp":950},{"name":"TFT5_Galio","disname":"U2001027_TFT5_Galio_19","type":5,"block":6,"hp":1800}]}</t>
  </si>
  <si>
    <t>{"success":true,"code":200,"msg":"鎴愬姛","data":["TFT5_Lucian","TFT5_Riven","TFT5_Karma","TFT5_Heimerdinger","TFT5_Ashe"]}</t>
  </si>
  <si>
    <t>{"success":true,"code":200,"msg":"鎴愬姛","data":[{"isme":true,"zt":5,"fit":0,"name":"TFTChampion","disname":"AlphaChess","type":3,"block":5,"hp":16},{"fit":1,"name":"TFTChampion","disname":"鍊惧煄鍗冭姵","type":3,"block":7,"hp":0},{"fit":2,"name":"TFTChampion","disname":"楹荤儲鏉ヤ竴鏉疢ojito","type":3,"block":8,"hp":0},{"fit":4,"name":"TFTChampion","disname":"鍗戝井蹇箰椋庣敺","type":3,"block":2,"hp":20},{"fit":3,"name":"TFTChampion","disname":"鍞旈涓嶆伅","type":3,"block":1,"hp":0},{"fit":3,"name":"TFTChampion","disname":"闃崇V鏄?,"type":3,"block":0,"hp":0},{"fit":3,"name":"TFTChampion","disname":"fiawad","type":3,"block":3,"hp":0},{"fit":4,"name":"TFTChampion","disname":"璇村惂鎵撹皝","type":3,"block":6,"hp":46},{"name":"TFT5_MissFortune","disname":"U2000929_TFT5_MissFortune_1","type":5,"block":6,"hp":1260},{"name":"TFT5_Sejuani","disname":"U2000597_TFT5_Sejuani_6","type":5,"block":6,"hp":750},{"name":"TFT5_Hecarim","disname":"U2000553_TFT5_Hecarim_1","type":5,"block":2,"hp":1350},{"name":"TFT5_Kled","disname":"U2000261_TFT5_Kled_8","type":5,"block":6,"hp":400},{"name":"TFT5_Hecarim","disname":"U2000552_TFT5_Hecarim_20","type":5,"block":6,"hp":750},{"name":"TFT5_Lucian","disname":"U2000979_TFT5_Lucian_1","type":5,"block":6,"hp":800},{"name":"TFT5_Garen","disname":"U2001133_TFT5_Garen_1","type":5,"block":6,"hp":1050},{"name":"TFT5_Hecarim","disname":"U2000542_TFT5_Hecarim_1","type":5,"block":2,"hp":750},{"name":"TFT5_Nautilus","disname":"U2000639_TFT5_Nautilus_1","type":5,"block":6,"hp":750},{"name":"TFT5_Rell","disname":"U2001001_TFT5_Rell_6","type":5,"block":5,"hp":950},{"name":"TFT5_Draven","disname":"U2001084_TFT5_Draven_1","type":5,"block":5,"hp":700},{"name":"TFT5_Lulu","disname":"U2000783_TFT5_Lulu_1","type":5,"block":2,"hp":650},{"name":"TFT5_Lulu","disname":"U2000789_TFT5_Lulu_1","type":5,"block":6,"hp":650},{"name":"TFT5_Lulu","disname":"U2000777_TFT5_Lulu_1","type":5,"block":5,"hp":650},{"name":"TFT5_Vayne","disname":"U2000108_TFT5_Vayne_35","type":5,"block":5,"hp":900},{"name":"TFT5_Leona","disname":"U2000149_TFT5_Leona_29","type":5,"block":5,"hp":1260},{"name":"TFT5_Varus","disname":"U2000470_TFT5_Varus_35","type":5,"block":5,"hp":1080},{"name":"TFT5_Syndra","disname":"U2000501_TFT5_Syndra_34","type":5,"block":5,"hp":1080},{"name":"TFT5_Hecarim","disname":"U2000559_TFT5_Hecarim_22","type":5,"block":5,"hp":1350},{"name":"TFT5_Thresh","disname":"U2000665_TFT5_Thresh_18","type":5,"block":5,"hp":800},{"name":"TFT5_MissFortune","disname":"U2000931_TFT5_MissFortune_4","type":5,"block":5,"hp":1260},{"name":"TFT5_Draven","disname":"U2001077_TFT5_Draven_22","type":5,"block":5,"hp":700},{"name":"TFT5_Viego","disname":"U2001088_TFT5_Viego_11","type":5,"block":5,"hp":1000},{"name":"TFT5_Vayne","disname":"U2000102_TFT5_Vayne_35","type":5,"block":2,"hp":1620},{"name":"TFT5_Poppy","disname":"U2000289_TFT5_Poppy_29","type":5,"block":2,"hp":1944},{"name":"TFT5_Hecarim","disname":"U2000539_TFT5_Hecarim_6","type":5,"block":2,"hp":750},{"name":"TFT5_Hecarim","disname":"U2000548_TFT5_Hecarim_21","type":5,"block":2,"hp":1350},{"name":"TFT5_Sejuani","disname":"U2000601_TFT5_Sejuani_32","type":5,"block":2,"hp":2730},{"name":"TFT5_Thresh","disname":"U2000653_TFT5_Thresh_33","type":5,"block":2,"hp":2592},{"name":"TFT5_Rell","disname":"U2000991_TFT5_Rell_8","type":5,"block":2,"hp":1710},{"name":"TFT5_Aphelios","disname":"U2001057_TFT5_Aphelios_17","type":5,"block":2,"hp":1170},{"name":"TFT5_Leona","disname":"U2000146_TFT5_Leona_22","type":5,"block":6,"hp":2418},{"name":"TFT5_Senna","disname":"U2000387_TFT5_Senna_30","type":5,"block":6,"hp":1050},{"name":"TFT5_Tristana","disname":"U2000725_TFT5_Tristana_14","type":5,"block":6,"hp":990},{"name":"TFT5_MissFortune","disname":"U2000921_TFT5_MissFortune_26","type":5,"block":6,"hp":1260},{"name":"TFT5_Jax","disname":"U2000964_TFT5_Jax_11","type":5,"block":6,"hp":1800},{"name":"TFT5_Lucian","disname":"U2000983_TFT5_Lucian_14","type":5,"block":6,"hp":800},{"name":"TFT5_Rell","disname":"U2000999_TFT5_Rell_12","type":5,"block":6,"hp":1710},{"name":"TFT5_Galio","disname":"U2001027_TFT5_Galio_23","type":5,"block":6,"hp":1800},{"name":"TestCubeRender","disname":"TestCube","type":5,"block":5,"hp":100},{"name":"TestCubeRender","disname":"TestCube","type":5,"block":5,"hp":100},{"name":"TestCubeRender","disname":"TestCube","type":5,"block":5,"hp":100}]}</t>
  </si>
  <si>
    <t>{"success":true,"code":200,"msg":"鎴愬姛","data":["TFT5_Gragas","TFT5_Udyr","TFT5_Poppy","TFT5_Nocturne","TFT5_Tristana"]}</t>
  </si>
  <si>
    <t>{"success":true,"code":200,"msg":"鎴愬姛","data":[{"isme":true,"zt":5,"fit":0,"name":"TFTChampion","disname":"AlphaChess","type":3,"block":1,"hp":100},{"fit":0,"name":"TFTChampion","disname":"涓婂崟閮芥€曟垜i","type":3,"block":7,"hp":98},{"fit":1,"name":"TFTChampion","disname":"灏忕唺楗煎共sweet","type":3,"block":8,"hp":76},{"fit":1,"name":"TFTChampion","disname":"GOD鐏琺aster","type":3,"block":5,"hp":94},{"fit":0,"name":"TFTChampion","disname":"emperorheng","type":3,"block":2,"hp":78},{"fit":1,"name":"TFTChampion","disname":"姝︽眽姹熷哺鎵涙妸瀛?,"type":3,"block":0,"hp":68},{"fit":1,"name":"TFTChampion","disname":"OCK涓禩ON","type":3,"block":3,"hp":80},{"fit":1,"name":"TFTChampion","disname":"涓冭姱鐜茬彂Miss","type":3,"block":6,"hp":86},{"name":"TFT5_Irelia","disname":"U2000713_TFT5_Irelia_2","type":5,"block":1,"hp":750},{"name":"TFT5_Poppy","disname":"U2000303_TFT5_Poppy_1","type":5,"block":5,"hp":600},{"name":"TFT5_Olaf","disname":"U2000394_TFT5_Olaf_1","type":5,"block":0,"hp":650},{"name":"TFT5_Kalista","disname":"U2000449_TFT5_Kalista_1","type":5,"block":7,"hp":500},{"name":"TFT5_MissFortune","disname":"U2000932_TFT5_MissFortune_1","type":5,"block":1,"hp":700},{"name":"TFT5_Tristana","disname":"U2000731_TFT5_Tristana_2","type":5,"block":5,"hp":550},{"name":"TFT5_Soraka","disname":"U2000479_TFT5_Soraka_5","type":5,"block":1,"hp":550},{"name":"TFT5_Sejuani","disname":"U2000604_TFT5_Sejuani_2","type":5,"block":8,"hp":750},{"name":"TFT5_Brand","disname":"U2000533_TFT5_Brand_2","type":5,"block":3,"hp":600},{"name":"TFT5_Rakan","disname":"U2000818_TFT5_Rakan_1","type":5,"block":1,"hp":800},{"name":"TFT5_Kled","disname":"U2000259_TFT5_Kled_1","type":5,"block":5,"hp":400},{"name":"TFT5_Olaf","disname":"U2000416_TFT5_Olaf_1","type":5,"block":0,"hp":650},{"name":"TFT5_Aatrox","disname":"U2000088_TFT5_Aatrox_9","type":5,"block":2,"hp":650},{"name":"TFT5_DraconicEgg","disname":"U2001337_TFT5_DraconicEgg_1","type":5,"block":3,"hp":2},{"name":"TFT5_Ziggs","disname":"U2000340_TFT5_Ziggs_1","type":5,"block":5,"hp":450},{"name":"TFT5_Kalista","disname":"U2000443_TFT5_Kalista_1","type":5,"block":6,"hp":500},{"name":"TFT5_Kalista","disname":"U2000425_TFT5_Kalista_1","type":5,"block":7,"hp":500},{"name":"TFT5_Tristana","disname":"U2000728_TFT5_Tristana_1","type":5,"block":5,"hp":550},{"name":"TFT5_MissFortune","disname":"U2000927_TFT5_MissFortune_6","type":5,"block":1,"hp":850},{"name":"TFT5_Kennen","disname":"U2000614_TFT5_Kennen_9","type":5,"block":6,"hp":600},{"name":"TFT5_DraconicEgg","disname":"U2001345_TFT5_DraconicEgg_1","type":5,"block":3,"hp":2},{"name":"TFT5_Yasuo","disname":"U2000904_TFT5_Yasuo_1","type":5,"block":8,"hp":800},{"name":"TFT5_Nocturne","disname":"U2000944_TFT5_Nocturne_1","type":5,"block":2,"hp":650},{"name":"TFT5_Leona","disname":"U2000159_TFT5_Leona_1","type":5,"block":8,"hp":700},{"name":"TFT5_Syndra","disname":"U2000504_TFT5_Syndra_1","type":5,"block":8,"hp":600},{"name":"TFT5_Nidalee","disname":"U2000893_TFT5_Nidalee_1","type":5,"block":1,"hp":800},{"name":"TFT5_Senna","disname":"U2000368_TFT5_Senna_10","type":5,"block":7,"hp":500},{"name":"TFT5_Olaf","disname":"U2000409_TFT5_Olaf_11","type":5,"block":7,"hp":800},{"name":"TFT5_Kalista","disname":"U2000437_TFT5_Kalista_12","type":5,"block":7,"hp":900},{"name":"TFT5_Pyke","disname":"U2000573_TFT5_Pyke_11","type":5,"block":7,"hp":650},{"name":"TFT5_Irelia","disname":"U2000696_TFT5_Irelia_6","type":5,"block":7,"hp":750},{"name":"TFT5_Leona","disname":"U2000131_TFT5_Leona_14","type":5,"block":8,"hp":1260},{"name":"TFT5_LeeSin","disname":"U2000762_TFT5_LeeSin_11","type":5,"block":8,"hp":850},{"name":"TFT5_Ashe","disname":"U2000840_TFT5_Ashe_7","type":5,"block":8,"hp":550},{"name":"TFT5_Yasuo","disname":"U2000902_TFT5_Yasuo_10","type":5,"block":8,"hp":800},{"name":"TFT5_Kled","disname":"U2000273_TFT5_Kled_5","type":5,"block":5,"hp":400},{"name":"TFT5_Poppy","disname":"U2000293_TFT5_Poppy_9","type":5,"block":5,"hp":600},{"name":"TFT5_Ziggs","disname":"U2000344_TFT5_Ziggs_11","type":5,"block":5,"hp":810},{"name":"TFT5_Lulu","disname":"U2000776_TFT5_Lulu_6","type":5,"block":5,"hp":650},{"name":"TFT5_Aatrox","disname":"U2000081_TFT5_Aatrox_4","type":5,"block":2,"hp":650},{"name":"TFT5_Khazix","disname":"U2000232_TFT5_Khazix_4","type":5,"block":2,"hp":900},{"name":"TFT5_Lux","disname":"U2000804_TFT5_Lux_8","type":5,"block":2,"hp":600},{"name":"TFT5_Nidalee","disname":"U2000882_TFT5_Nidalee_5","type":5,"block":2,"hp":800},{"name":"TFT5_Nocturne","disname":"U2000953_TFT5_Nocturne_9","type":5,"block":2,"hp":650},{"name":"TFT5_Gragas","disname":"U2000316_TFT5_Gragas_10","type":5,"block":1,"hp":1350},{"name":"TFT5_Senna","disname":"U2000381_TFT5_Senna_10","type":5,"block":1,"hp":900},{"name":"TFT5_Olaf","disname":"U2000397_TFT5_Olaf_8","type":5,"block":1,"hp":1170},{"name":"TFT5_Riven","disname":"U2000751_TFT5_Riven_2","type":5,"block":1,"hp":850},{"name":"TFT5_Rakan","disname":"U2000827_TFT5_Rakan_12","type":5,"block":1,"hp":800},{"name":"TFT5_Udyr","disname":"U2000188_TFT5_Udyr_6","type":5,"block":0,"hp":700},{"name":"TFT5_Kled","disname":"U2000261_TFT5_Kled_7","type":5,"block":0,"hp":400},{"name":"TFT5_Sejuani","disname":"U2000602_TFT5_Sejuani_2","type":5,"block":0,"hp":750},{"name":"TFT5_Kennen","disname":"U2000606_TFT5_Kennen_7","type":5,"block":0,"hp":600},{"name":"TFT5_LeeSin","disname":"U2000759_TFT5_LeeSin_6","type":5,"block":0,"hp":850},{"name":"TFT5_Udyr","disname":"U2000165_TFT5_Udyr_11","type":5,"block":3,"hp":1260},{"name":"TFT5_Vladimir","disname":"U2000192_TFT5_Vladimir_10","type":5,"block":3,"hp":1170},{"name":"TFT5_Kalista","disname":"U2000429_TFT5_Kalista_12","type":5,"block":3,"hp":900},{"name":"TFT5_Sett","disname":"U2000692_TFT5_Sett_4","type":5,"block":3,"hp":750},{"name":"TFT5_Zyra","disname":"U2000850_TFT5_Zyra_6","type":5,"block":3,"hp":600},{"name":"TFT5_Poppy","disname":"U2000294_TFT5_Poppy_10","type":5,"block":6,"hp":600},{"name":"TFT5_Kalista","disname":"U2000421_TFT5_Kalista_11","type":5,"block":6,"hp":900},{"name":"TFT5_LeeSin","disname":"U2000772_TFT5_LeeSin_5","type":5,"block":6,"hp":1530},{"name":"TFT5_Ashe","disname":"U2000833_TFT5_Ashe_11","type":5,"block":6,"hp":550},{"name":"TFT5_Yasuo","disname":"U2000916_TFT5_Yasuo_6","type":5,"block":6,"hp":800}]}</t>
  </si>
  <si>
    <t>{"success":true,"code":200,"msg":"鎴愬姛","data":["TFT5_Ziggs","TFT5_Ziggs","TFT5_Nocturne","TFT5_Sett","TFT5_Riven"]}</t>
  </si>
  <si>
    <t>{"success":true,"code":200,"msg":"鎴愬姛","data":[{"isme":true,"zt":5,"fit":0,"name":"TFTChampion","disname":"AlphaChess","type":3,"block":1,"hp":94},{"fit":1,"name":"TFTChampion","disname":"涓婂崟閮芥€曟垜i","type":3,"block":7,"hp":68},{"fit":2,"name":"TFTChampion","disname":"灏忕唺楗煎共sweet","type":3,"block":8,"hp":29},{"fit":2,"name":"TFTChampion","disname":"GOD鐏琺aster","type":3,"block":5,"hp":0},{"fit":1,"name":"TFTChampion","disname":"emperorheng","type":3,"block":2,"hp":54},{"fit":1,"name":"TFTChampion","disname":"姝︽眽姹熷哺鎵涙妸瀛?,"type":3,"block":0,"hp":42},{"fit":2,"name":"TFTChampion","disname":"OCK涓禩ON","type":3,"block":3,"hp":58},{"fit":1,"name":"TFTChampion","disname":"涓冭姱鐜茬彂Miss","type":3,"block":6,"hp":86},{"name":"TFT5_Irelia","disname":"U2000713_TFT5_Irelia_2","type":5,"block":1,"hp":750},{"name":"TFT5_Kalista","disname":"U2000449_TFT5_Kalista_1","type":5,"block":7,"hp":900},{"name":"TFT5_MissFortune","disname":"U2000932_TFT5_MissFortune_1","type":5,"block":1,"hp":700},{"name":"TFT5_Sejuani","disname":"U2000604_TFT5_Sejuani_2","type":5,"block":8,"hp":750},{"name":"TFT5_Rakan","disname":"U2000818_TFT5_Rakan_1","type":5,"block":1,"hp":800},{"name":"TFT5_Kalista","disname":"U2000443_TFT5_Kalista_1","type":5,"block":6,"hp":500},{"name":"TFT5_Yasuo","disname":"U2000904_TFT5_Yasuo_1","type":5,"block":8,"hp":800},{"name":"TFT5_Leona","disname":"U2000159_TFT5_Leona_1","type":5,"block":8,"hp":700},{"name":"TFT5_Kalista","disname":"U2000424_TFT5_Kalista_1","type":5,"block":3,"hp":500},{"name":"TFT5_Senna","disname":"U2000379_TFT5_Senna_1","type":5,"block":7,"hp":500},{"name":"TFT5_Udyr","disname":"U2000172_TFT5_Udyr_1","type":5,"block":3,"hp":1260},{"name":"TFT5_Soraka","disname":"U2000489_TFT5_Soraka_1","type":5,"block":2,"hp":550},{"name":"TFT5_Gragas","disname":"U2000309_TFT5_Gragas_1","type":5,"block":2,"hp":750},{"name":"TFT5_Irelia","disname":"U2000696_TFT5_Irelia_10","type":5,"block":7,"hp":750},{"name":"TFT5_Lucian","disname":"U2000979_TFT5_Lucian_2","type":5,"block":8,"hp":800},{"name":"TFT5_Thresh","disname":"U2000669_TFT5_Thresh_2","type":5,"block":1,"hp":800},{"name":"TFT5_LeeSin","disname":"U2000768_TFT5_LeeSin_2","type":5,"block":6,"hp":1530},{"name":"TFT5_Udyr","disname":"U2000166_TFT5_Udyr_1","type":5,"block":3,"hp":700},{"name":"TFT5_Gragas","disname":"U2000313_TFT5_Gragas_1","type":5,"block":2,"hp":750},{"name":"TFT5_Pyke","disname":"U2000581_TFT5_Pyke_1","type":5,"block":1,"hp":650},{"name":"TFT5_Soraka","disname":"U2000490_TFT5_Soraka_1","type":5,"block":2,"hp":550},{"name":"TFT5_Senna","disname":"U2000375_TFT5_Senna_1","type":5,"block":1,"hp":500},{"name":"TFT5_Poppy","disname":"U2000296_TFT5_Poppy_1","type":5,"block":6,"hp":600},{"name":"TFT5_Udyr","disname":"U2000177_TFT5_Udyr_1","type":5,"block":8,"hp":1260},{"name":"TFT5_Olaf","disname":"U2000397_TFT5_Olaf_15","type":5,"block":1,"hp":1670},{"name":"TFT5_Rakan","disname":"U2000827_TFT5_Rakan_19","type":5,"block":1,"hp":800},{"name":"TFT5_Brand","disname":"U2000533_TFT5_Brand_6","type":5,"block":3,"hp":600},{"name":"TFT5_DraconicEgg","disname":"U2001461_TFT5_DraconicEgg_1","type":5,"block":3,"hp":2},{"name":"TFT5_Olaf","disname":"U2000419_TFT5_Olaf_1","type":5,"block":7,"hp":650},{"name":"TFT5_Udyr","disname":"U2000171_TFT5_Udyr_1","type":5,"block":3,"hp":700},{"name":"TFT5_Nunu","disname":"U2000873_TFT5_Nunu_1","type":5,"block":7,"hp":900},{"name":"TFT5_DraconicEgg","disname":"U2001496_TFT5_DraconicEgg_1","type":5,"block":3,"hp":1},{"name":"TFT5_Kalista","disname":"U2000445_TFT5_Kalista_1","type":5,"block":6,"hp":500},{"name":"TFT5_Kalista","disname":"U2000439_TFT5_Kalista_1","type":5,"block":7,"hp":500},{"name":"TFT5_Zyra","disname":"U2000863_TFT5_Zyra_1","type":5,"block":3,"hp":600},{"name":"TFT5_LeeSin","disname":"U2000760_TFT5_LeeSin_1","type":5,"block":0,"hp":850},{"name":"TFT5_Pyke","disname":"U2000565_TFT5_Pyke_1","type":5,"block":7,"hp":650},{"name":"TFT5_Lux","disname":"U2000801_TFT5_Lux_1","type":5,"block":3,"hp":600},{"name":"TFT5_Yasuo","disname":"U2000913_TFT5_Yasuo_1","type":5,"block":2,"hp":800},{"name":"TFT5_Yasuo","disname":"U2000901_TFT5_Yasuo_1","type":5,"block":6,"hp":800},{"name":"TFT5_Riven","disname":"U2000739_TFT5_Riven_1","type":5,"block":6,"hp":850},{"name":"TFT5_Yasuo","disname":"U2000912_TFT5_Yasuo_1","type":5,"block":0,"hp":800},{"name":"TestCubeRender","disname":"TestCube","type":5,"block":8,"hp":100},{"name":"TestCubeRender","disname":"TestCube","type":5,"block":8,"hp":100},{"name":"TestCubeRender","disname":"TestCube","type":5,"block":8,"hp":100},{"name":"TestCubeRender","disname":"TestCube","type":5,"block":8,"hp":100},{"name":"TestCubeRender","disname":"TestCube","type":5,"block":8,"hp":100},{"name":"TestCubeRender","disname":"TestCube","type":5,"block":8,"hp":100},{"name":"TestCubeRender","disname":"TestCube","type":5,"block":8,"hp":100},{"name":"TestCubeRender","disname":"TestCube","type":5,"block":8,"hp":100},{"name":"TestCubeRender","disname":"TestCube","type":5,"block":8,"hp":100},{"name":"TestCubeRender","disname":"TestCube","type":5,"block":8,"hp":100},{"name":"TestCubeRender","disname":"TestCube","type":5,"block":8,"hp":100},{"name":"TestCubeRender","disname":"TestCube","type":5,"block":8,"hp":100},{"name":"TestCubeRender","disname":"TestCube","type":5,"block":8,"hp":100},{"name":"TFT5_Yasuo","disname":"U2000900_TFT5_Yasuo_1","type":5,"block":0,"hp":800},{"name":"TFT5_Nidalee","disname":"U2000885_TFT5_Nidalee_2","type":5,"block":1,"hp":800},{"name":"TFT5_Senna","disname":"U2000368_TFT5_Senna_18","type":5,"block":7,"hp":500},{"name":"TFT5_Olaf","disname":"U2000409_TFT5_Olaf_19","type":5,"block":7,"hp":800},{"name":"TFT5_Kalista","disname":"U2000437_TFT5_Kalista_20","type":5,"block":7,"hp":900},{"name":"TFT5_Brand","disname":"U2000531_TFT5_Brand_5","type":5,"block":7,"hp":600},{"name":"TFT5_Pyke","disname":"U2000570_TFT5_Pyke_4","type":5,"block":7,"hp":1170},{"name":"TFT5_Nunu","disname":"U2000872_TFT5_Nunu_5","type":5,"block":7,"hp":900},{"name":"TFT5_Aatrox","disname":"U2000099_TFT5_Aatrox_6","type":5,"block":8,"hp":1170},{"name":"TFT5_Leona","disname":"U2000131_TFT5_Leona_22","type":5,"block":8,"hp":1260},{"name":"TFT5_Syndra","disname":"U2000504_TFT5_Syndra_9","type":5,"block":8,"hp":1080},{"name":"TFT5_Ashe","disname":"U2000840_TFT5_Ashe_15","type":5,"block":8,"hp":550},{"name":"TFT5_Yasuo","disname":"U2000902_TFT5_Yasuo_18","type":5,"block":8,"hp":800},{"name":"TFT5_Aatrox","disname":"U2000081_TFT5_Aatrox_12","type":5,"block":2,"hp":1170},{"name":"TFT5_Khazix","disname":"U2000232_TFT5_Khazix_12","type":5,"block":2,"hp":900},{"name":"TFT5_Riven","disname":"U2000744_TFT5_Riven_5","type":5,"block":2,"hp":850},{"name":"TFT5_Lux","disname":"U2000804_TFT5_Lux_13","type":5,"block":2,"hp":600},{"name":"TFT5_Nidalee","disname":"U2000882_TFT5_Nidalee_13","type":5,"block":2,"hp":1440},{"name":"TFT5_Nocturne","disname":"U2000953_TFT5_Nocturne_17","type":5,"block":2,"hp":1170},{"name":"TFT5_Gragas","disname":"U2000316_TFT5_Gragas_20","type":5,"block":1,"hp":1350},{"name":"TFT5_Senna","disname":"U2000381_TFT5_Senna_20","type":5,"block":1,"hp":900},{"name":"TFT5_Soraka","disname":"U2000479_TFT5_Soraka_8","type":5,"block":1,"hp":550},{"name":"TFT5_Riven","disname":"U2000751_TFT5_Riven_12","type":5,"block":1,"hp":850},{"name":"TFT5_Nidalee","disname":"U2000898_TFT5_Nidalee_4","type":5,"block":1,"hp":800},{"name":"TFT5_MissFortune","disname":"U2000927_TFT5_MissFortune_16","type":5,"block":1,"hp":850},{"name":"TFT5_Olaf","disname":"U2000394_TFT5_Olaf_9","type":5,"block":0,"hp":1170},{"name":"TFT5_Sejuani","disname":"U2000602_TFT5_Sejuani_12","type":5,"block":0,"hp":750},{"name":"TFT5_Kennen","disname":"U2000606_TFT5_Kennen_15","type":5,"block":0,"hp":600},{"name":"TFT5_LeeSin","disname":"U2000759_TFT5_LeeSin_16","type":5,"block":0,"hp":850},{"name":"TFT5_Diana","disname":"U2001026_TFT5_Diana_5","type":5,"block":0,"hp":750},{"name":"TFT5_Aphelios","disname":"U2001051_TFT5_Aphelios_5","type":5,"block":0,"hp":650},{"name":"TFT5_Udyr","disname":"U2000165_TFT5_Udyr_18","type":5,"block":3,"hp":3060},{"name":"TFT5_Vladimir","disname":"U2000192_TFT5_Vladimir_17","type":5,"block":3,"hp":1170},{"name":"TFT5_Kalista","disname":"U2000429_TFT5_Kalista_19","type":5,"block":3,"hp":900},{"name":"TFT5_Sett","disname":"U2000692_TFT5_Sett_11","type":5,"block":3,"hp":750},{"name":"TFT5_Ashe","disname":"U2000837_TFT5_Ashe_3","type":5,"block":3,"hp":990},{"name":"TFT5_Zyra","disname":"U2000850_TFT5_Zyra_13","type":5,"block":3,"hp":1080},{"name":"TFT5_Poppy","disname":"U2000294_TFT5_Poppy_18","type":5,"block":6,"hp":600},{"name":"TFT5_Kalista","disname":"U2000421_TFT5_Kalista_19","type":5,"block":6,"hp":900},{"name":"TFT5_Kennen","disname":"U2000614_TFT5_Kennen_16","type":5,"block":6,"hp":1080},{"name":"TFT5_LeeSin","disname":"U2000772_TFT5_LeeSin_13","type":5,"block":6,"hp":1680},{"name":"TFT5_Ashe","disname":"U2000833_TFT5_Ashe_19","type":5,"block":6,"hp":990},{"name":"TFT5_Yasuo","disname":"U2000916_TFT5_Yasuo_14","type":5,"block":6,"hp":1440}]}</t>
  </si>
  <si>
    <t>{"success":true,"code":200,"msg":"鎴愬姛","data":["TFT5_Ziggs","TFT5_Ashe","TFT5_Lux","Sold","TFT5_Nautilus"]}</t>
  </si>
  <si>
    <t>{"success":true,"code":200,"msg":"鎴愬姛","data":[{"isme":true,"zt":5,"fit":0,"name":"TFTChampion","disname":"AlphaChess","type":3,"block":1,"hp":89},{"fit":2,"name":"TFTChampion","disname":"涓婂崟閮芥€曟垜i","type":3,"block":7,"hp":68},{"fit":2,"name":"TFTChampion","disname":"灏忕唺楗煎共sweet","type":3,"block":8,"hp":2},{"fit":2,"name":"TFTChampion","disname":"GOD鐏琺aster","type":3,"block":5,"hp":0},{"fit":2,"name":"TFTChampion","disname":"emperorheng","type":3,"block":2,"hp":30},{"fit":1,"name":"TFTChampion","disname":"姝︽眽姹熷哺鎵涙妸瀛?,"type":3,"block":0,"hp":37},{"fit":2,"name":"TFTChampion","disname":"OCK涓禩ON","type":3,"block":3,"hp":58},{"fit":1,"name":"TFTChampion","disname":"涓冭姱鐜茬彂Miss","type":3,"block":6,"hp":86},{"name":"TFT5_Irelia","disname":"U2000713_TFT5_Irelia_2","type":5,"block":1,"hp":750},{"name":"TFT5_MissFortune","disname":"U2000932_TFT5_MissFortune_1","type":5,"block":1,"hp":700},{"name":"TFT5_Rakan","disname":"U2000818_TFT5_Rakan_1","type":5,"block":1,"hp":800},{"name":"TFT5_Kalista","disname":"U2000443_TFT5_Kalista_1","type":5,"block":6,"hp":900},{"name":"TFT5_Leona","disname":"U2000159_TFT5_Leona_1","type":5,"block":8,"hp":700},{"name":"TFT5_Kalista","disname":"U2000424_TFT5_Kalista_1","type":5,"block":3,"hp":500},{"name":"TFT5_Gragas","disname":"U2000309_TFT5_Gragas_1","type":5,"block":2,"hp":750},{"name":"TFT5_Irelia","disname":"U2000696_TFT5_Irelia_10","type":5,"block":7,"hp":750},{"name":"TFT5_Gragas","disname":"U2000313_TFT5_Gragas_1","type":5,"block":2,"hp":750},{"name":"TFT5_Senna","disname":"U2000375_TFT5_Senna_1","type":5,"block":1,"hp":500},{"name":"TFT5_Poppy","disname":"U2000296_TFT5_Poppy_1","type":5,"block":6,"hp":600},{"name":"TFT5_Rakan","disname":"U2000827_TFT5_Rakan_19","type":5,"block":1,"hp":800},{"name":"TFT5_Brand","disname":"U2000533_TFT5_Brand_6","type":5,"block":3,"hp":600},{"name":"TFT5_Olaf","disname":"U2000419_TFT5_Olaf_1","type":5,"block":7,"hp":650},{"name":"TFT5_Nunu","disname":"U2000873_TFT5_Nunu_1","type":5,"block":7,"hp":900},{"name":"TFT5_Kalista","disname":"U2000439_TFT5_Kalista_1","type":5,"block":7,"hp":500},{"name":"TFT5_Zyra","disname":"U2000863_TFT5_Zyra_1","type":5,"block":3,"hp":600},{"name":"TFT5_Pyke","disname":"U2000565_TFT5_Pyke_1","type":5,"block":7,"hp":650},{"name":"TFT5_Yasuo","disname":"U2000901_TFT5_Yasuo_1","type":5,"block":6,"hp":800},{"name":"TFT5_Riven","disname":"U2000739_TFT5_Riven_1","type":5,"block":6,"hp":850},{"name":"TFT5_Lux","disname":"U2000804_TFT5_Lux_13","type":5,"block":2,"hp":600},{"name":"TFT5_Lux","disname":"U2000794_TFT5_Lux_1","type":5,"block":8,"hp":600},{"name":"TFT5_Leona","disname":"U2000153_TFT5_Leona_1","type":5,"block":8,"hp":700},{"name":"TFT5_Syndra","disname":"U2000496_TFT5_Syndra_1","type":5,"block":2,"hp":600},{"name":"TFT5_Velkoz","disname":"U2001004_TFT5_Velkoz_1","type":5,"block":8,"hp":700},{"name":"TFT5_Yasuo","disname":"U2000913_TFT5_Yasuo_3","type":5,"block":2,"hp":800},{"name":"TFT5_DraconicEgg","disname":"U2001591_TFT5_DraconicEgg_1","type":5,"block":3,"hp":3},{"name":"TFT5_Nunu","disname":"U2000878_TFT5_Nunu_1","type":5,"block":3,"hp":900},{"name":"TFT5_Lucian","disname":"U2000989_TFT5_Lucian_1","type":5,"block":1,"hp":800},{"name":"TFT5_Kalista","disname":"U2000436_TFT5_Kalista_1","type":5,"block":3,"hp":500},{"name":"TFT5_Varus","disname":"U2000453_TFT5_Varus_1","type":5,"block":0,"hp":600},{"name":"TFT5_Pyke","disname":"U2000579_TFT5_Pyke_1","type":5,"block":7,"hp":650},{"name":"TFT5_Zyra","disname":"U2000848_TFT5_Zyra_1","type":5,"block":3,"hp":600},{"name":"TFT5_Ashe","disname":"U2000843_TFT5_Ashe_1","type":5,"block":3,"hp":550},{"name":"TFT5_Ashe","disname":"U2000830_TFT5_Ashe_1","type":5,"block":0,"hp":550},{"name":"TFT5_Senna","disname":"U2000368_TFT5_Senna_21","type":5,"block":7,"hp":900},{"name":"TFT5_Olaf","disname":"U2000409_TFT5_Olaf_22","type":5,"block":7,"hp":800},{"name":"TFT5_Kalista","disname":"U2000437_TFT5_Kalista_23","type":5,"block":7,"hp":900},{"name":"TFT5_Kalista","disname":"U2000449_TFT5_Kalista_2","type":5,"block":7,"hp":900},{"name":"TFT5_Brand","disname":"U2000531_TFT5_Brand_8","type":5,"block":7,"hp":1080},{"name":"TFT5_Pyke","disname":"U2000570_TFT5_Pyke_7","type":5,"block":7,"hp":1170},{"name":"TFT5_Nunu","disname":"U2000872_TFT5_Nunu_8","type":5,"block":7,"hp":900},{"name":"TFT5_Aatrox","disname":"U2000099_TFT5_Aatrox_10","type":5,"block":8,"hp":1170},{"name":"TFT5_Leona","disname":"U2000131_TFT5_Leona_26","type":5,"block":8,"hp":1260},{"name":"TFT5_Udyr","disname":"U2000177_TFT5_Udyr_3","type":5,"block":8,"hp":1260},{"name":"TFT5_Syndra","disname":"U2000504_TFT5_Syndra_13","type":5,"block":8,"hp":1080},{"name":"TFT5_Sejuani","disname":"U2000604_TFT5_Sejuani_6","type":5,"block":8,"hp":750},{"name":"TFT5_Lucian","disname":"U2000979_TFT5_Lucian_4","type":5,"block":8,"hp":800},{"name":"TFT5_Aatrox","disname":"U2000081_TFT5_Aatrox_16","type":5,"block":2,"hp":1170},{"name":"TFT5_Khazix","disname":"U2000232_TFT5_Khazix_16","type":5,"block":2,"hp":900},{"name":"TFT5_Soraka","disname":"U2000490_TFT5_Soraka_3","type":5,"block":2,"hp":990},{"name":"TFT5_Riven","disname":"U2000744_TFT5_Riven_9","type":5,"block":2,"hp":850},{"name":"TFT5_Nidalee","disname":"U2000882_TFT5_Nidalee_17","type":5,"block":2,"hp":1440},{"name":"TFT5_Nocturne","disname":"U2000953_TFT5_Nocturne_21","type":5,"block":2,"hp":1170},{"name":"TFT5_Gragas","disname":"U2000316_TFT5_Gragas_22","type":5,"block":1,"hp":1350},{"name":"TFT5_Senna","disname":"U2000381_TFT5_Senna_22","type":5,"block":1,"hp":900},{"name":"TFT5_Olaf","disname":"U2000397_TFT5_Olaf_17","type":5,"block":1,"hp":1670},{"name":"TFT5_Soraka","disname":"U2000479_TFT5_Soraka_10","type":5,"block":1,"hp":550},{"name":"TFT5_Pyke","disname":"U2000581_TFT5_Pyke_3","type":5,"block":1,"hp":650},{"name":"TFT5_Riven","disname":"U2000751_TFT5_Riven_14","type":5,"block":1,"hp":1530},{"name":"TFT5_MissFortune","disname":"U2000927_TFT5_MissFortune_18","type":5,"block":1,"hp":850},{"name":"TFT5_Olaf","disname":"U2000394_TFT5_Olaf_12","type":5,"block":0,"hp":1170},{"name":"TFT5_Varus","disname":"U2000471_TFT5_Varus_4","type":5,"block":0,"hp":600},{"name":"TFT5_Sejuani","disname":"U2000602_TFT5_Sejuani_15","type":5,"block":0,"hp":750},{"name":"TFT5_LeeSin","disname":"U2000759_TFT5_LeeSin_19","type":5,"block":0,"hp":850},{"name":"TFT5_LeeSin","disname":"U2000760_TFT5_LeeSin_4","type":5,"block":0,"hp":850},{"name":"TFT5_Diana","disname":"U2001026_TFT5_Diana_8","type":5,"block":0,"hp":750},{"name":"TFT5_Aphelios","disname":"U2001051_TFT5_Aphelios_8","type":5,"block":0,"hp":650},{"name":"TFT5_Udyr","disname":"U2000165_TFT5_Udyr_20","type":5,"block":3,"hp":4218},{"name":"TFT5_Vladimir","disname":"U2000192_TFT5_Vladimir_19","type":5,"block":3,"hp":1170},{"name":"TFT5_Kalista","disname":"U2000429_TFT5_Kalista_21","type":5,"block":3,"hp":900},{"name":"TFT5_Sett","disname":"U2000692_TFT5_Sett_13","type":5,"block":3,"hp":1350},{"name":"TFT5_Ashe","disname":"U2000837_TFT5_Ashe_5","type":5,"block":3,"hp":990},{"name":"TFT5_Zyra","disname":"U2000850_TFT5_Zyra_15","type":5,"block":3,"hp":1080},{"name":"TFT5_Poppy","disname":"U2000294_TFT5_Poppy_20","type":5,"block":6,"hp":600},{"name":"TFT5_Kalista","disname":"U2000421_TFT5_Kalista_21","type":5,"block":6,"hp":900},{"name":"TFT5_Kennen","disname":"U2000614_TFT5_Kennen_18","type":5,"block":6,"hp":1080},{"name":"TFT5_LeeSin","disname":"U2000768_TFT5_LeeSin_3","type":5,"block":6,"hp":1530},{"name":"TFT5_LeeSin","disname":"U2000772_TFT5_LeeSin_15","type":5,"block":6,"hp":1680},{"name":"TFT5_Ashe","disname":"U2000833_TFT5_Ashe_21","type":5,"block":6,"hp":990},{"name":"TFT5_Yasuo","disname":"U2000916_TFT5_Yasuo_16","type":5,"block":6,"hp":1440},{"name":"TFT5_DraconicEgg","disname":"U2001633_TFT5_DraconicEgg_1","type":5,"block":3,"hp":1},{"name":"TFT5_Rakan","disname":"U2000821_TFT5_Rakan_1","type":5,"block":1,"hp":1440}]}</t>
  </si>
  <si>
    <t>{"success":true,"code":200,"msg":"鎴愬姛","data":["TFT5_Poppy","TFT5_Leona","TFT5_Khazix","TFT5_Nunu","Sold"]}</t>
  </si>
  <si>
    <t>{"success":true,"code":200,"msg":"鎴愬姛","data":[{"isme":true,"zt":5,"fit":0,"name":"TFTChampion","disname":"AlphaChess","type":3,"block":1,"hp":80},{"fit":2,"name":"TFTChampion","disname":"涓婂崟閮芥€曟垜i","type":3,"block":7,"hp":68},{"fit":2,"name":"TFTChampion","disname":"灏忕唺楗煎共sweet","type":3,"block":8,"hp":0},{"fit":2,"name":"TFTChampion","disname":"GOD鐏琺aster","type":3,"block":5,"hp":0},{"fit":2,"name":"TFTChampion","disname":"emperorheng","type":3,"block":2,"hp":21},{"fit":1,"name":"TFTChampion","disname":"姝︽眽姹熷哺鎵涙妸瀛?,"type":3,"block":0,"hp":32},{"fit":2,"name":"TFTChampion","disname":"OCK涓禩ON","type":3,"block":3,"hp":58},{"fit":2,"name":"TFTChampion","disname":"涓冭姱鐜茬彂Miss","type":3,"block":6,"hp":86},{"name":"TFT5_Kalista","disname":"U2000443_TFT5_Kalista_1","type":5,"block":6,"hp":900},{"name":"TFT5_Kalista","disname":"U2000424_TFT5_Kalista_1","type":5,"block":3,"hp":500},{"name":"TFT5_Gragas","disname":"U2000309_TFT5_Gragas_1","type":5,"block":2,"hp":750},{"name":"TFT5_Irelia","disname":"U2000696_TFT5_Irelia_10","type":5,"block":7,"hp":750},{"name":"TFT5_Gragas","disname":"U2000313_TFT5_Gragas_1","type":5,"block":2,"hp":750},{"name":"TFT5_Senna","disname":"U2000375_TFT5_Senna_1","type":5,"block":1,"hp":500},{"name":"TFT5_Brand","disname":"U2000533_TFT5_Brand_6","type":5,"block":3,"hp":600},{"name":"TFT5_Olaf","disname":"U2000419_TFT5_Olaf_1","type":5,"block":7,"hp":650},{"name":"TFT5_Nunu","disname":"U2000873_TFT5_Nunu_1","type":5,"block":7,"hp":900},{"name":"TFT5_Kalista","disname":"U2000439_TFT5_Kalista_1","type":5,"block":7,"hp":500},{"name":"TFT5_Zyra","disname":"U2000863_TFT5_Zyra_1","type":5,"block":3,"hp":600},{"name":"TFT5_Pyke","disname":"U2000565_TFT5_Pyke_1","type":5,"block":7,"hp":650},{"name":"TFT5_Riven","disname":"U2000739_TFT5_Riven_1","type":5,"block":6,"hp":850},{"name":"TFT5_Lux","disname":"U2000804_TFT5_Lux_13","type":5,"block":2,"hp":600},{"name":"TFT5_Syndra","disname":"U2000496_TFT5_Syndra_1","type":5,"block":2,"hp":600},{"name":"TFT5_Yasuo","disname":"U2000913_TFT5_Yasuo_3","type":5,"block":2,"hp":800},{"name":"TFT5_DraconicEgg","disname":"U2001591_TFT5_DraconicEgg_1","type":5,"block":3,"hp":3},{"name":"TFT5_Nunu","disname":"U2000878_TFT5_Nunu_1","type":5,"block":3,"hp":900},{"name":"TFT5_Kalista","disname":"U2000436_TFT5_Kalista_1","type":5,"block":3,"hp":500},{"name":"TFT5_Varus","disname":"U2000453_TFT5_Varus_1","type":5,"block":0,"hp":600},{"name":"TFT5_Pyke","disname":"U2000579_TFT5_Pyke_1","type":5,"block":7,"hp":650},{"name":"TFT5_Zyra","disname":"U2000848_TFT5_Zyra_1","type":5,"block":3,"hp":600},{"name":"TFT5_Ashe","disname":"U2000843_TFT5_Ashe_1","type":5,"block":3,"hp":550},{"name":"TFT5_Ashe","disname":"U2000830_TFT5_Ashe_1","type":5,"block":0,"hp":550},{"name":"TFT5_Kalista","disname":"U2000449_TFT5_Kalista_2","type":5,"block":7,"hp":900},{"name":"TFT5_LeeSin","disname":"U2000760_TFT5_LeeSin_4","type":5,"block":0,"hp":850},{"name":"TFT5_DraconicEgg","disname":"U2001633_TFT5_DraconicEgg_1","type":5,"block":3,"hp":1},{"name":"TFT5_Karma","disname":"U2000968_TFT5_Karma_1","type":5,"block":2,"hp":700},{"name":"TFT5_Yasuo","disname":"U2000911_TFT5_Yasuo_6","type":5,"block":6,"hp":1440},{"name":"TFT5_Galio","disname":"U2001031_TFT5_Galio_1","type":5,"block":6,"hp":1000},{"name":"TFT5_Senna","disname":"U2000368_TFT5_Senna_23","type":5,"block":7,"hp":900},{"name":"TFT5_Olaf","disname":"U2000409_TFT5_Olaf_24","type":5,"block":7,"hp":800},{"name":"TFT5_Kalista","disname":"U2000437_TFT5_Kalista_25","type":5,"block":7,"hp":900},{"name":"TFT5_Brand","disname":"U2000531_TFT5_Brand_10","type":5,"block":7,"hp":1080},{"name":"TFT5_Pyke","disname":"U2000570_TFT5_Pyke_9","type":5,"block":7,"hp":1170},{"name":"TFT5_Nunu","disname":"U2000872_TFT5_Nunu_10","type":5,"block":7,"hp":900},{"name":"TFT5_Draven","disname":"U2001077_TFT5_Draven_3","type":5,"block":7,"hp":700},{"name":"TFT5_Aatrox","disname":"U2000081_TFT5_Aatrox_17","type":5,"block":2,"hp":1170},{"name":"TFT5_Khazix","disname":"U2000232_TFT5_Khazix_17","type":5,"block":2,"hp":900},{"name":"TFT5_Soraka","disname":"U2000490_TFT5_Soraka_4","type":5,"block":2,"hp":990},{"name":"TFT5_Riven","disname":"U2000744_TFT5_Riven_10","type":5,"block":2,"hp":1530},{"name":"TFT5_Nidalee","disname":"U2000882_TFT5_Nidalee_18","type":5,"block":2,"hp":1440},{"name":"TFT5_Nocturne","disname":"U2000953_TFT5_Nocturne_22","type":5,"block":2,"hp":1170},{"name":"TFT5_Senna","disname":"U2000381_TFT5_Senna_23","type":5,"block":1,"hp":900},{"name":"TFT5_Olaf","disname":"U2000397_TFT5_Olaf_18","type":5,"block":1,"hp":1670},{"name":"TFT5_Pyke","disname":"U2000581_TFT5_Pyke_4","type":5,"block":1,"hp":650},{"name":"TFT5_Irelia","disname":"U2000713_TFT5_Irelia_3","type":5,"block":1,"hp":750},{"name":"TFT5_Riven","disname":"U2000751_TFT5_Riven_15","type":5,"block":1,"hp":1530},{"name":"TFT5_Rakan","disname":"U2000821_TFT5_Rakan_2","type":5,"block":1,"hp":1440},{"name":"TFT5_Lucian","disname":"U2000989_TFT5_Lucian_2","type":5,"block":1,"hp":800},{"name":"TFT5_Olaf","disname":"U2000394_TFT5_Olaf_14","type":5,"block":0,"hp":1170},{"name":"TFT5_Varus","disname":"U2000471_TFT5_Varus_6","type":5,"block":0,"hp":600},{"name":"TFT5_Sejuani","disname":"U2000602_TFT5_Sejuani_17","type":5,"block":0,"hp":750},{"name":"TFT5_LeeSin","disname":"U2000759_TFT5_LeeSin_21","type":5,"block":0,"hp":850},{"name":"TFT5_Diana","disname":"U2001026_TFT5_Diana_10","type":5,"block":0,"hp":750},{"name":"TFT5_Aphelios","disname":"U2001051_TFT5_Aphelios_10","type":5,"block":0,"hp":650},{"name":"TFT5_Akshan","disname":"U2001151_TFT5_Akshan_3","type":5,"block":0,"hp":850},{"name":"TFT5_Udyr","disname":"U2000165_TFT5_Udyr_21","type":5,"block":3,"hp":4218},{"name":"TFT5_Vladimir","disname":"U2000192_TFT5_Vladimir_20","type":5,"block":3,"hp":1170},{"name":"TFT5_Kalista","disname":"U2000429_TFT5_Kalista_22","type":5,"block":3,"hp":900},{"name":"TFT5_Sett","disname":"U2000692_TFT5_Sett_14","type":5,"block":3,"hp":1750},{"name":"TFT5_Ashe","disname":"U2000837_TFT5_Ashe_6","type":5,"block":3,"hp":990},{"name":"TFT5_Zyra","disname":"U2000850_TFT5_Zyra_16","type":5,"block":3,"hp":1080},{"name":"TFT5_Kalista","disname":"U2000421_TFT5_Kalista_23","type":5,"block":6,"hp":900},{"name":"TFT5_Kennen","disname":"U2000614_TFT5_Kennen_20","type":5,"block":6,"hp":1080},{"name":"TFT5_LeeSin","disname":"U2000768_TFT5_LeeSin_5","type":5,"block":6,"hp":1530},{"name":"TFT5_LeeSin","disname":"U2000772_TFT5_LeeSin_17","type":5,"block":6,"hp":1680},{"name":"TFT5_Ashe","disname":"U2000833_TFT5_Ashe_23","type":5,"block":6,"hp":990},{"name":"TFT5_Yasuo","disname":"U2000916_TFT5_Yasuo_18","type":5,"block":6,"hp":1440},{"name":"TFT5_Galio","disname":"U2001029_TFT5_Galio_3","type":5,"block":6,"hp":1000},{"name":"TFT5_Draven","disname":"U2001085_TFT5_Draven_2","type":5,"block":2,"hp":700},{"name":"TFT5_Teemo","disname":"U2001098_TFT5_Teemo_2","type":5,"block":1,"hp":800},{"name":"TFT5_Volibear","disname":"U2001165_TFT5_Volibear_2","type":5,"block":3,"hp":1500},{"name":"TFT5_DraconicEgg","disname":"U2001685_TFT5_DraconicEgg_1","type":5,"block":3,"hp":1},{"name":"TFT5_Irelia","disname":"U2000700_TFT5_Irelia_1","type":5,"block":1,"hp":750}]}</t>
  </si>
  <si>
    <t>卡死sample</t>
  </si>
  <si>
    <t>{"success":true,"code":200,"msg":"鎴愬姛","data":["TFT5_Lux","TFT5_Sett","TFT5_Nidalee","TFT5_Nunu","TFT5_Lulu"]}</t>
  </si>
  <si>
    <t>{"success":true,"code":200,"msg":"鎴愬姛","data":[{"isme":true,"zt":5,"fit":0,"name":"TFTChampion","disname":"AlphaChess","type":3,"block":1,"hp":80},{"fit":4,"name":"TFTChampion","disname":"涓婂崟閮芥€曟垜i","type":3,"block":7,"hp":28},{"fit":2,"name":"TFTChampion","disname":"灏忕唺楗煎共sweet","type":3,"block":8,"hp":0},{"fit":2,"name":"TFTChampion","disname":"GOD鐏琺aster","type":3,"block":5,"hp":0},{"fit":2,"name":"TFTChampion","disname":"emperorheng","type":3,"block":2,"hp":0},{"fit":2,"name":"TFTChampion","disname":"姝︽眽姹熷哺鎵涙妸瀛?,"type":3,"block":0,"hp":20},{"fit":3,"name":"TFTChampion","disname":"OCK涓禩ON","type":3,"block":3,"hp":10},{"fit":2,"name":"TFTChampion","disname":"涓冭姱鐜茬彂Miss","type":3,"block":6,"hp":70},{"name":"TFT5_Kalista","disname":"U2000443_TFT5_Kalista_1","type":5,"block":6,"hp":900},{"name":"TFT5_Senna","disname":"U2000375_TFT5_Senna_1","type":5,"block":1,"hp":500},{"name":"TFT5_Kalista","disname":"U2000439_TFT5_Kalista_1","type":5,"block":7,"hp":500},{"name":"TFT5_Zyra","disname":"U2000863_TFT5_Zyra_1","type":5,"block":3,"hp":600},{"name":"TFT5_Pyke","disname":"U2000579_TFT5_Pyke_1","type":5,"block":7,"hp":1170},{"name":"TFT5_Zyra","disname":"U2000848_TFT5_Zyra_1","type":5,"block":3,"hp":600},{"name":"TFT5_Ashe","disname":"U2000843_TFT5_Ashe_1","type":5,"block":3,"hp":550},{"name":"TFT5_Kalista","disname":"U2000449_TFT5_Kalista_2","type":5,"block":7,"hp":900},{"name":"TFT5_Galio","disname":"U2001031_TFT5_Galio_1","type":5,"block":6,"hp":1000},{"name":"TFT5_Irelia","disname":"U2000700_TFT5_Irelia_1","type":5,"block":1,"hp":750},{"name":"TFT5_Ashe","disname":"U2000839_TFT5_Ashe_1","type":5,"block":0,"hp":550},{"name":"TFT5_Yasuo","disname":"U2000900_TFT5_Yasuo_2","type":5,"block":6,"hp":800},{"name":"TFT5_Nunu","disname":"U2000878_TFT5_Nunu_3","type":5,"block":3,"hp":1620},{"name":"TFT5_Sett","disname":"U2000685_TFT5_Sett_1","type":5,"block":3,"hp":750},{"name":"TFT5_Yasuo","disname":"U2000915_TFT5_Yasuo_1","type":5,"block":6,"hp":800},{"name":"TFT5_Aphelios","disname":"U2001057_TFT5_Aphelios_1","type":5,"block":0,"hp":650},{"name":"TFT5_Ashe","disname":"U2000831_TFT5_Ashe_2","type":5,"block":6,"hp":990},{"name":"TFT5_Rell","disname":"U2001000_TFT5_Rell_1","type":5,"block":6,"hp":950},{"name":"TFT5_Olaf","disname":"U2000411_TFT5_Olaf_1","type":5,"block":7,"hp":650},{"name":"TFT5_Sett","disname":"U2000676_TFT5_Sett_1","type":5,"block":3,"hp":750},{"name":"TFT5_Akshan","disname":"U2001149_TFT5_Akshan_1","type":5,"block":0,"hp":850},{"name":"TFT5_Brand","disname":"U2000533_TFT5_Brand_10","type":5,"block":3,"hp":600},{"name":"TFT5_DraconicEgg","disname":"U2001754_TFT5_DraconicEgg_1","type":5,"block":3,"hp":4},{"name":"TFT5_Rell","disname":"U2001001_TFT5_Rell_1","type":5,"block":0,"hp":950},{"name":"TFT5_Senna","disname":"U2000376_TFT5_Senna_2","type":5,"block":1,"hp":500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FT5_Diana","disname":"U2001016_TFT5_Diana_1","type":5,"block":0,"hp":750},{"name":"TestCubeRender","disname":"Test","type":5,"block":0,"hp":0},{"name":"TFT5_Senna","disname":"U2000368_TFT5_Senna_29","type":5,"block":7,"hp":900},{"name":"TFT5_Olaf","disname":"U2000409_TFT5_Olaf_30","type":5,"block":7,"hp":1320},{"name":"TFT5_Kalista","disname":"U2000437_TFT5_Kalista_31","type":5,"block":7,"hp":900},{"name":"TFT5_Brand","disname":"U2000531_TFT5_Brand_16","type":5,"block":7,"hp":1080},{"name":"TFT5_Pyke","disname":"U2000570_TFT5_Pyke_15","type":5,"block":7,"hp":1170},{"name":"TFT5_Irelia","disname":"U2000708_TFT5_Irelia_4","type":5,"block":7,"hp":1350},{"name":"TFT5_Nunu","disname":"U2000873_TFT5_Nunu_2","type":5,"block":7,"hp":1620},{"name":"TFT5_Fiddlesticks","disname":"U2001071_TFT5_Fiddlesticks_6","type":5,"block":7,"hp":800},{"name":"TFT5_Senna","disname":"U2000381_TFT5_Senna_31","type":5,"block":1,"hp":900},{"name":"TFT5_Olaf","disname":"U2000397_TFT5_Olaf_26","type":5,"block":1,"hp":1670},{"name":"TFT5_Pyke","disname":"U2000581_TFT5_Pyke_12","type":5,"block":1,"hp":650},{"name":"TFT5_Irelia","disname":"U2000713_TFT5_Irelia_11","type":5,"block":1,"hp":750},{"name":"TFT5_Riven","disname":"U2000751_TFT5_Riven_23","type":5,"block":1,"hp":1530},{"name":"TFT5_Rakan","disname":"U2000821_TFT5_Rakan_10","type":5,"block":1,"hp":1440},{"name":"TFT5_Lucian","disname":"U2000989_TFT5_Lucian_10","type":5,"block":1,"hp":800},{"name":"TFT5_Teemo","disname":"U2001098_TFT5_Teemo_10","type":5,"block":1,"hp":1100},{"name":"TFT5_Varus","disname":"U2000471_TFT5_Varus_13","type":5,"block":0,"hp":1080},{"name":"TFT5_Sejuani","disname":"U2000602_TFT5_Sejuani_24","type":5,"block":0,"hp":1350},{"name":"TFT5_LeeSin","disname":"U2000759_TFT5_LeeSin_28","type":5,"block":0,"hp":1530},{"name":"TFT5_Ashe","disname":"U2000830_TFT5_Ashe_6","type":5,"block":0,"hp":550},{"name":"TFT5_Rell","disname":"U2000994_TFT5_Rell_4","type":5,"block":0,"hp":1710},{"name":"TFT5_Diana","disname":"U2001026_TFT5_Diana_17","type":5,"block":0,"hp":750},{"name":"TFT5_Aphelios","disname":"U2001051_TFT5_Aphelios_17","type":5,"block":0,"hp":650},{"name":"TFT5_Akshan","disname":"U2001151_TFT5_Akshan_10","type":5,"block":0,"hp":850},{"name":"TFT5_Udyr","disname":"U2000165_TFT5_Udyr_28","type":5,"block":3,"hp":4218},{"name":"TFT5_Vladimir","disname":"U2000192_TFT5_Vladimir_27","type":5,"block":3,"hp":1170},{"name":"TFT5_Kalista","disname":"U2000429_TFT5_Kalista_29","type":5,"block":3,"hp":900},{"name":"TFT5_Sett","disname":"U2000692_TFT5_Sett_21","type":5,"block":3,"hp":1350},{"name":"TFT5_Ashe","disname":"U2000837_TFT5_Ashe_13","type":5,"block":3,"hp":990},{"name":"TFT5_Zyra","disname":"U2000850_TFT5_Zyra_23","type":5,"block":3,"hp":1080},{"name":"TFT5_Galio","disname":"U2001036_TFT5_Galio_3","type":5,"block":3,"hp":1000},{"name":"TFT5_Heimerdinger","disname":"U2001117_TFT5_Heimerdinger_2","type":5,"block":3,"hp":800},{"name":"TFT5_HeimerTurret","disname":"U2001755_TFT5_HeimerTurret_2","type":5,"block":3,"hp":1000},{"name":"TFT5_Kalista","disname":"U2000421_TFT5_Kalista_31","type":5,"block":6,"hp":900},{"name":"TFT5_Kennen","disname":"U2000614_TFT5_Kennen_28","type":5,"block":6,"hp":1080},{"name":"TFT5_LeeSin","disname":"U2000768_TFT5_LeeSin_13","type":5,"block":6,"hp":2904},{"name":"TFT5_Ashe","disname":"U2000833_TFT5_Ashe_31","type":5,"block":6,"hp":990},{"name":"TFT5_Yasuo","disname":"U2000911_TFT5_Yasuo_8","type":5,"block":6,"hp":1440},{"name":"TFT5_Yasuo","disname":"U2000916_TFT5_Yasuo_26","type":5,"block":6,"hp":1440},{"name":"TFT5_Galio","disname":"U2001029_TFT5_Galio_11","type":5,"block":6,"hp":1000},{"name":"TFT5_DraconicEgg","disname":"U2001766_TFT5_DraconicEgg_1","type":5,"block":3,"hp":4},{"name":"TFT5_Rell","disname":"U2000999_TFT5_Rell_1","type":5,"block":0,"hp":950}]}</t>
  </si>
  <si>
    <t>{"success":true,"code":200,"msg":"鎴愬姛","data":["TFT5_MissFortune","TFT5_Zyra","TFT5_Karma","TFT5_Brand","TFT5_Ziggs"]}</t>
  </si>
  <si>
    <t>{"success":true,"code":200,"msg":"鎴愬姛","data":[{"isme":true,"zt":5,"fit":0,"name":"TFTChampion","disname":"AlphaChess","type":3,"block":1,"hp":69},{"fit":4,"name":"TFTChampion","disname":"涓婂崟閮芥€曟垜i","type":3,"block":7,"hp":21},{"fit":2,"name":"TFTChampion","disname":"灏忕唺楗煎共sweet","type":3,"block":8,"hp":0},{"fit":2,"name":"TFTChampion","disname":"GOD鐏琺aster","type":3,"block":5,"hp":0},{"fit":2,"name":"TFTChampion","disname":"emperorheng","type":3,"block":2,"hp":0},{"fit":2,"name":"TFTChampion","disname":"姝︽眽姹熷哺鎵涙妸瀛?,"type":3,"block":0,"hp":20},{"fit":3,"name":"TFTChampion","disname":"OCK涓禩ON","type":3,"block":3,"hp":0},{"fit":2,"name":"TFTChampion","disname":"涓冭姱鐜茬彂Miss","type":3,"block":6,"hp":70},{"name":"TFT5_Kalista","disname":"U2000443_TFT5_Kalista_1","type":5,"block":6,"hp":900},{"name":"TFT5_Senna","disname":"U2000375_TFT5_Senna_1","type":5,"block":1,"hp":500},{"name":"TFT5_Kalista","disname":"U2000439_TFT5_Kalista_1","type":5,"block":7,"hp":500},{"name":"TFT5_Pyke","disname":"U2000579_TFT5_Pyke_1","type":5,"block":7,"hp":1170},{"name":"TFT5_Kalista","disname":"U2000449_TFT5_Kalista_2","type":5,"block":7,"hp":900},{"name":"TFT5_Irelia","disname":"U2000700_TFT5_Irelia_1","type":5,"block":1,"hp":750},{"name":"TFT5_Ashe","disname":"U2000839_TFT5_Ashe_1","type":5,"block":0,"hp":550},{"name":"TFT5_Ashe","disname":"U2000831_TFT5_Ashe_2","type":5,"block":6,"hp":990},{"name":"TFT5_Rell","disname":"U2001000_TFT5_Rell_1","type":5,"block":6,"hp":950},{"name":"TFT5_Olaf","disname":"U2000411_TFT5_Olaf_1","type":5,"block":7,"hp":650},{"name":"TFT5_Akshan","disname":"U2001149_TFT5_Akshan_1","type":5,"block":0,"hp":850},{"name":"TFT5_Senna","disname":"U2000376_TFT5_Senna_2","type":5,"block":1,"hp":500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FT5_Diana","disname":"U2001016_TFT5_Diana_1","type":5,"block":0,"hp":750},{"name":"TFT5_Olaf","disname":"U2000414_TFT5_Olaf_2","type":5,"block":7,"hp":650},{"name":"TFT5_Senna","disname":"U2000372_TFT5_Senna_1","type":5,"block":7,"hp":500},{"name":"TFT5_Pyke","disname":"U2000576_TFT5_Pyke_1","type":5,"block":7,"hp":650},{"name":"TFT5_Fiddlesticks","disname":"U2001065_TFT5_Fiddlesticks_1","type":5,"block":7,"hp":800},{"name":"TFT5_Senna","disname":"U2000368_TFT5_Senna_30","type":5,"block":7,"hp":900},{"name":"TFT5_Olaf","disname":"U2000409_TFT5_Olaf_31","type":5,"block":7,"hp":1320},{"name":"TFT5_Kalista","disname":"U2000437_TFT5_Kalista_32","type":5,"block":7,"hp":900},{"name":"TFT5_Brand","disname":"U2000531_TFT5_Brand_17","type":5,"block":7,"hp":1080},{"name":"TFT5_Pyke","disname":"U2000570_TFT5_Pyke_16","type":5,"block":7,"hp":1170},{"name":"TFT5_Irelia","disname":"U2000708_TFT5_Irelia_5","type":5,"block":7,"hp":1350},{"name":"TFT5_Nunu","disname":"U2000873_TFT5_Nunu_3","type":5,"block":7,"hp":1620},{"name":"TFT5_Senna","disname":"U2000381_TFT5_Senna_32","type":5,"block":1,"hp":900},{"name":"TFT5_Olaf","disname":"U2000397_TFT5_Olaf_27","type":5,"block":1,"hp":1670},{"name":"TFT5_Pyke","disname":"U2000581_TFT5_Pyke_13","type":5,"block":1,"hp":650},{"name":"TFT5_Irelia","disname":"U2000713_TFT5_Irelia_12","type":5,"block":1,"hp":750},{"name":"TFT5_Riven","disname":"U2000751_TFT5_Riven_24","type":5,"block":1,"hp":1530},{"name":"TFT5_Rakan","disname":"U2000821_TFT5_Rakan_11","type":5,"block":1,"hp":1440},{"name":"TFT5_Lucian","disname":"U2000989_TFT5_Lucian_11","type":5,"block":1,"hp":800},{"name":"TFT5_Teemo","disname":"U2001098_TFT5_Teemo_11","type":5,"block":1,"hp":1100},{"name":"TFT5_Varus","disname":"U2000471_TFT5_Varus_15","type":5,"block":0,"hp":1080},{"name":"TFT5_Sejuani","disname":"U2000602_TFT5_Sejuani_26","type":5,"block":0,"hp":1350},{"name":"TFT5_LeeSin","disname":"U2000759_TFT5_LeeSin_30","type":5,"block":0,"hp":1530},{"name":"TFT5_Ashe","disname":"U2000830_TFT5_Ashe_8","type":5,"block":0,"hp":550},{"name":"TFT5_Rell","disname":"U2000994_TFT5_Rell_6","type":5,"block":0,"hp":1710},{"name":"TFT5_Diana","disname":"U2001026_TFT5_Diana_19","type":5,"block":0,"hp":750},{"name":"TFT5_Aphelios","disname":"U2001051_TFT5_Aphelios_19","type":5,"block":0,"hp":1170},{"name":"TFT5_Akshan","disname":"U2001151_TFT5_Akshan_12","type":5,"block":0,"hp":850},{"name":"TFT5_Kalista","disname":"U2000421_TFT5_Kalista_33","type":5,"block":6,"hp":900},{"name":"TFT5_Kennen","disname":"U2000614_TFT5_Kennen_30","type":5,"block":6,"hp":1080},{"name":"TFT5_LeeSin","disname":"U2000768_TFT5_LeeSin_15","type":5,"block":6,"hp":2904},{"name":"TFT5_Ashe","disname":"U2000833_TFT5_Ashe_33","type":5,"block":6,"hp":990},{"name":"TFT5_Ashe","disname":"U2000835_TFT5_Ashe_3","type":5,"block":6,"hp":550},{"name":"TFT5_Yasuo","disname":"U2000911_TFT5_Yasuo_10","type":5,"block":6,"hp":2592},{"name":"TFT5_Galio","disname":"U2001029_TFT5_Galio_13","type":5,"block":6,"hp":1800},{"name":"TFT5_Fiddlesticks","disname":"U2001064_TFT5_Fiddlesticks_2","type":5,"block":7,"hp":1440},{"name":"TFT5_Nidalee","disname":"U2000897_TFT5_Nidalee_2","type":5,"block":1,"hp":800}]}</t>
  </si>
  <si>
    <t>{"success":true,"code":200,"msg":"鎴愬姛","data":[{"isme":true,"zt":5,"fit":0,"name":"TFTChampion","disname":"AlphaChess","type":3,"block":1,"hp":56},{"fit":5,"name":"TFTChampion","disname":"涓婂崟閮芥€曟垜i","type":3,"block":7,"hp":0},{"fit":2,"name":"TFTChampion","disname":"灏忕唺楗煎共sweet","type":3,"block":8,"hp":0},{"fit":2,"name":"TFTChampion","disname":"GOD鐏琺aster","type":3,"block":5,"hp":0},{"fit":2,"name":"TFTChampion","disname":"emperorheng","type":3,"block":2,"hp":0},{"fit":2,"name":"TFTChampion","disname":"姝︽眽姹熷哺鎵涙妸瀛?,"type":3,"block":0,"hp":20},{"fit":3,"name":"TFTChampion","disname":"OCK涓禩ON","type":3,"block":3,"hp":0},{"fit":3,"name":"TFTChampion","disname":"涓冭姱鐜茬彂Miss","type":3,"block":6,"hp":53},{"name":"TFT5_Kalista","disname":"U2000443_TFT5_Kalista_1","type":5,"block":6,"hp":900},{"name":"TFT5_Senna","disname":"U2000375_TFT5_Senna_1","type":5,"block":1,"hp":500},{"name":"TFT5_Irelia","disname":"U2000700_TFT5_Irelia_1","type":5,"block":1,"hp":750},{"name":"TFT5_Akshan","disname":"U2001149_TFT5_Akshan_1","type":5,"block":0,"hp":850},{"name":"TFT5_Senna","disname":"U2000376_TFT5_Senna_2","type":5,"block":1,"hp":500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FT5_Ashe","disname":"U2000835_TFT5_Ashe_3","type":5,"block":6,"hp":550},{"name":"TFT5_Heimerdinger","disname":"U2001114_TFT5_Heimerdinger_1","type":5,"block":1,"hp":800},{"name":"TFT5_Senna","disname":"U2000381_TFT5_Senna_34","type":5,"block":1,"hp":900},{"name":"TFT5_Olaf","disname":"U2000397_TFT5_Olaf_29","type":5,"block":1,"hp":1670},{"name":"TFT5_Pyke","disname":"U2000581_TFT5_Pyke_15","type":5,"block":1,"hp":650},{"name":"TFT5_Irelia","disname":"U2000713_TFT5_Irelia_14","type":5,"block":1,"hp":750},{"name":"TFT5_Riven","disname":"U2000751_TFT5_Riven_26","type":5,"block":1,"hp":1530},{"name":"TFT5_Rakan","disname":"U2000821_TFT5_Rakan_13","type":5,"block":1,"hp":1440},{"name":"TFT5_Karma","disname":"U2000968_TFT5_Karma_4","type":5,"block":1,"hp":1260},{"name":"TFT5_Lucian","disname":"U2000989_TFT5_Lucian_13","type":5,"block":1,"hp":800},{"name":"TFT5_Teemo","disname":"U2001098_TFT5_Teemo_13","type":5,"block":1,"hp":1100},{"name":"TFT5_Varus","disname":"U2000471_TFT5_Varus_18","type":5,"block":0,"hp":1080},{"name":"TFT5_Sejuani","disname":"U2000602_TFT5_Sejuani_29","type":5,"block":0,"hp":1350},{"name":"TFT5_LeeSin","disname":"U2000759_TFT5_LeeSin_33","type":5,"block":0,"hp":1530},{"name":"TFT5_Ashe","disname":"U2000830_TFT5_Ashe_11","type":5,"block":0,"hp":990},{"name":"TFT5_Rell","disname":"U2000994_TFT5_Rell_9","type":5,"block":0,"hp":1710},{"name":"TFT5_Diana","disname":"U2001026_TFT5_Diana_22","type":5,"block":0,"hp":1350},{"name":"TFT5_Aphelios","disname":"U2001051_TFT5_Aphelios_22","type":5,"block":0,"hp":1170},{"name":"TFT5_Akshan","disname":"U2001151_TFT5_Akshan_15","type":5,"block":0,"hp":850},{"name":"TFT5_Kalista","disname":"U2000421_TFT5_Kalista_37","type":5,"block":6,"hp":900},{"name":"TFT5_Kennen","disname":"U2000614_TFT5_Kennen_34","type":5,"block":6,"hp":1080},{"name":"TFT5_LeeSin","disname":"U2000768_TFT5_LeeSin_19","type":5,"block":6,"hp":3054},{"name":"TFT5_Ashe","disname":"U2000831_TFT5_Ashe_6","type":5,"block":6,"hp":990},{"name":"TFT5_Ashe","disname":"U2000833_TFT5_Ashe_37","type":5,"block":6,"hp":990},{"name":"TFT5_Yasuo","disname":"U2000911_TFT5_Yasuo_14","type":5,"block":6,"hp":2592},{"name":"TFT5_Galio","disname":"U2001029_TFT5_Galio_17","type":5,"block":6,"hp":1800},{"name":"TFT5_NPC_Dragon","disname":"U2001851_TFT5_NPC_Dragon_1","type":5,"block":1,"hp":8075},{"name":"TFT5_NPC_Dragon","disname":"U2001853_TFT5_NPC_Dragon_1","type":5,"block":0,"hp":8000},{"name":"TFT5_NPC_Dragon","disname":"U2001855_TFT5_NPC_Dragon_1","type":5,"block":6,"hp":8000},{"name":"TFT5_Volibear","disname":"U2001159_TFT5_Volibear_1","type":5,"block":1,"hp":1100},{"name":"TFT5_Kalista","disname":"U2000434_TFT5_Kalista_2","type":5,"block":6,"hp":500}]}</t>
  </si>
  <si>
    <t>{"success":true,"code":200,"msg":"鎴愬姛","data":["TFT5_Poppy","Sold","TFT5_Diana","TFT5_Ashe","TFT5_Nunu"]}</t>
  </si>
  <si>
    <t>{"success":true,"code":200,"msg":"鎴愬姛","data":["TFT5_Kled","TFT5_Nidalee","TFT5_Jax","TFT5_Diana","Sold"]}</t>
  </si>
  <si>
    <t>{"success":true,"code":200,"msg":"鎴愬姛","data":[{"isme":true,"zt":5,"fit":0,"name":"TFTChampion","disname":"AlphaChess","type":3,"block":1,"hp":40},{"fit":5,"name":"TFTChampion","disname":"涓婂崟閮芥€曟垜i","type":3,"block":7,"hp":0},{"fit":2,"name":"TFTChampion","disname":"灏忕唺楗煎共sweet","type":3,"block":8,"hp":0},{"fit":2,"name":"TFTChampion","disname":"GOD鐏琺aster","type":3,"block":5,"hp":0},{"fit":2,"name":"TFTChampion","disname":"emperorheng","type":3,"block":2,"hp":0},{"fit":2,"name":"TFTChampion","disname":"姝︽眽姹熷哺鎵涙妸瀛?,"type":3,"block":0,"hp":20},{"fit":3,"name":"TFTChampion","disname":"OCK涓禩ON","type":3,"block":3,"hp":0},{"fit":4,"name":"TFTChampion","disname":"涓冭姱鐜茬彂Miss","type":3,"block":6,"hp":53},{"name":"TFT5_Senna","disname":"U2000375_TFT5_Senna_1","type":5,"block":1,"hp":500},{"name":"TFT5_Irelia","disname":"U2000700_TFT5_Irelia_1","type":5,"block":1,"hp":750},{"name":"TFT5_Senna","disname":"U2000376_TFT5_Senna_2","type":5,"block":1,"hp":500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FT5_Volibear","disname":"U2001159_TFT5_Volibear_1","type":5,"block":1,"hp":1100},{"name":"TFT5_Kalista","disname":"U2000434_TFT5_Kalista_2","type":5,"block":6,"hp":500},{"name":"TFT5_Sejuani","disname":"U2000603_TFT5_Sejuani_1","type":5,"block":0,"hp":750},{"name":"TFT5_MissFortune","disname":"U2000933_TFT5_MissFortune_1","type":5,"block":6,"hp":700},{"name":"TFT5_Lucian","disname":"U2000987_TFT5_Lucian_1","type":5,"block":1,"hp":800},{"name":"TFT5_Kayle","disname":"U2001142_TFT5_Kayle_1","type":5,"block":1,"hp":650},{"name":"TFT5_Gwen","disname":"U2001118_TFT5_Gwen_2","type":5,"block":1,"hp":950},{"name":"TFT5_Varus","disname":"U2000470_TFT5_Varus_1","type":5,"block":0,"hp":600},{"name":"TFT5_Pyke","disname":"U2000569_TFT5_Pyke_1","type":5,"block":1,"hp":650},{"name":"TFT5_Senna","disname":"U2000381_TFT5_Senna_37","type":5,"block":1,"hp":900},{"name":"TFT5_Olaf","disname":"U2000397_TFT5_Olaf_32","type":5,"block":1,"hp":1670},{"name":"TFT5_Pyke","disname":"U2000581_TFT5_Pyke_18","type":5,"block":1,"hp":650},{"name":"TFT5_Irelia","disname":"U2000713_TFT5_Irelia_17","type":5,"block":1,"hp":750},{"name":"TFT5_Riven","disname":"U2000751_TFT5_Riven_29","type":5,"block":1,"hp":1530},{"name":"TFT5_Rakan","disname":"U2000821_TFT5_Rakan_16","type":5,"block":1,"hp":1440},{"name":"TFT5_Karma","disname":"U2000968_TFT5_Karma_7","type":5,"block":1,"hp":1560},{"name":"TFT5_Lucian","disname":"U2000989_TFT5_Lucian_16","type":5,"block":1,"hp":800},{"name":"TFT5_Teemo","disname":"U2001098_TFT5_Teemo_16","type":5,"block":1,"hp":950},{"name":"TFT5_Varus","disname":"U2000471_TFT5_Varus_20","type":5,"block":0,"hp":1080},{"name":"TFT5_Sejuani","disname":"U2000602_TFT5_Sejuani_31","type":5,"block":0,"hp":1350},{"name":"TFT5_LeeSin","disname":"U2000759_TFT5_LeeSin_35","type":5,"block":0,"hp":1530},{"name":"TFT5_Ashe","disname":"U2000830_TFT5_Ashe_13","type":5,"block":0,"hp":990},{"name":"TFT5_Rell","disname":"U2000994_TFT5_Rell_11","type":5,"block":0,"hp":1710},{"name":"TFT5_Diana","disname":"U2001026_TFT5_Diana_24","type":5,"block":0,"hp":1350},{"name":"TFT5_Aphelios","disname":"U2001051_TFT5_Aphelios_24","type":5,"block":0,"hp":1170},{"name":"TFT5_Akshan","disname":"U2001151_TFT5_Akshan_17","type":5,"block":0,"hp":1530},{"name":"TFT5_Kalista","disname":"U2000421_TFT5_Kalista_39","type":5,"block":6,"hp":900},{"name":"TFT5_Kalista","disname":"U2000443_TFT5_Kalista_2","type":5,"block":6,"hp":900},{"name":"TFT5_Kennen","disname":"U2000614_TFT5_Kennen_36","type":5,"block":6,"hp":1080},{"name":"TFT5_LeeSin","disname":"U2000768_TFT5_LeeSin_21","type":5,"block":6,"hp":3054},{"name":"TFT5_Ashe","disname":"U2000833_TFT5_Ashe_39","type":5,"block":6,"hp":1782},{"name":"TFT5_Yasuo","disname":"U2000911_TFT5_Yasuo_16","type":5,"block":6,"hp":2592},{"name":"TFT5_Galio","disname":"U2001029_TFT5_Galio_19","type":5,"block":6,"hp":1800},{"name":"TFT5_Karma","disname":"U2000971_TFT5_Karma_1","type":5,"block":1,"hp":700}]}</t>
  </si>
  <si>
    <t>{"success":true,"code":200,"msg":"鎴愬姛","data":[{"isme":true,"zt":5,"fit":0,"name":"TFTChampion","disname":"AlphaChess","type":3,"block":1,"hp":1},{"fit":5,"name":"TFTChampion","disname":"涓婂崟閮芥€曟垜i","type":3,"block":7,"hp":0},{"fit":2,"name":"TFTChampion","disname":"灏忕唺楗煎共sweet","type":3,"block":8,"hp":0},{"fit":2,"name":"TFTChampion","disname":"GOD鐏琺aster","type":3,"block":5,"hp":0},{"fit":2,"name":"TFTChampion","disname":"emperorheng","type":3,"block":2,"hp":0},{"fit":3,"name":"TFTChampion","disname":"姝︽眽姹熷哺鎵涙妸瀛?,"type":3,"block":0,"hp":20},{"fit":3,"name":"TFTChampion","disname":"OCK涓禩ON","type":3,"block":3,"hp":0},{"fit":4,"name":"TFTChampion","disname":"涓冭姱鐜茬彂Miss","type":3,"block":6,"hp":12},{"name":"TFT5_Irelia","disname":"U2000700_TFT5_Irelia_1","type":5,"block":1,"hp":750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estCubeRender","disname":"TestCube","type":5,"block":2,"hp":100},{"name":"TFT5_Kalista","disname":"U2000434_TFT5_Kalista_2","type":5,"block":6,"hp":500},{"name":"TFT5_Sejuani","disname":"U2000603_TFT5_Sejuani_1","type":5,"block":0,"hp":750},{"name":"TFT5_Lucian","disname":"U2000987_TFT5_Lucian_1","type":5,"block":1,"hp":800},{"name":"TFT5_Pyke","disname":"U2000581_TFT5_Pyke_18","type":5,"block":1,"hp":1170},{"name":"TFT5_Irelia","disname":"U2000713_TFT5_Irelia_17","type":5,"block":1,"hp":750},{"name":"TFT5_Aphelios","disname":"U2001052_TFT5_Aphelios_1","type":5,"block":0,"hp":1170},{"name":"TFT5_Volibear","disname":"U2001166_TFT5_Volibear_1","type":5,"block":1,"hp":1100},{"name":"TFT5_Kayle","disname":"U2001144_TFT5_Kayle_1","type":5,"block":1,"hp":1170},{"name":"TFT5_Teemo","disname":"U2001104_TFT5_Teemo_1","type":5,"block":1,"hp":800},{"name":"TFT5_Akshan","disname":"U2001156_TFT5_Akshan_1","type":5,"block":1,"hp":850},{"name":"TFT5_Senna","disname":"U2000381_TFT5_Senna_40","type":5,"block":1,"hp":900},{"name":"TFT5_Olaf","disname":"U2000397_TFT5_Olaf_35","type":5,"block":1,"hp":1670},{"name":"TFT5_Riven","disname":"U2000751_TFT5_Riven_32","type":5,"block":1,"hp":1530},{"name":"TFT5_Rakan","disname":"U2000821_TFT5_Rakan_19","type":5,"block":1,"hp":1440},{"name":"TFT5_Karma","disname":"U2000968_TFT5_Karma_10","type":5,"block":1,"hp":1560},{"name":"TFT5_Lucian","disname":"U2000989_TFT5_Lucian_19","type":5,"block":1,"hp":800},{"name":"TFT5_Teemo","disname":"U2001098_TFT5_Teemo_19","type":5,"block":1,"hp":950},{"name":"TFT5_Gwen","disname":"U2001118_TFT5_Gwen_5","type":5,"block":1,"hp":950},{"name":"TFT5_Volibear","disname":"U2001159_TFT5_Volibear_4","type":5,"block":1,"hp":1100},{"name":"TFT5_Varus","disname":"U2000471_TFT5_Varus_22","type":5,"block":0,"hp":1080},{"name":"TFT5_Sejuani","disname":"U2000602_TFT5_Sejuani_33","type":5,"block":0,"hp":1350},{"name":"TFT5_LeeSin","disname":"U2000759_TFT5_LeeSin_37","type":5,"block":0,"hp":1530},{"name":"TFT5_Ashe","disname":"U2000830_TFT5_Ashe_15","type":5,"block":0,"hp":990},{"name":"TFT5_Rell","disname":"U2000994_TFT5_Rell_13","type":5,"block":0,"hp":1710},{"name":"TFT5_Diana","disname":"U2001026_TFT5_Diana_26","type":5,"block":0,"hp":1350},{"name":"TFT5_Aphelios","disname":"U2001051_TFT5_Aphelios_26","type":5,"block":0,"hp":1170},{"name":"TFT5_Akshan","disname":"U2001151_TFT5_Akshan_19","type":5,"block":0,"hp":1530},{"name":"TFT5_Kalista","disname":"U2000421_TFT5_Kalista_42","type":5,"block":6,"hp":900},{"name":"TFT5_Kalista","disname":"U2000443_TFT5_Kalista_5","type":5,"block":6,"hp":900},{"name":"TFT5_Kennen","disname":"U2000614_TFT5_Kennen_39","type":5,"block":6,"hp":1080},{"name":"TFT5_LeeSin","disname":"U2000768_TFT5_LeeSin_24","type":5,"block":6,"hp":3054},{"name":"TFT5_Ashe","disname":"U2000833_TFT5_Ashe_42","type":5,"block":6,"hp":1782},{"name":"TFT5_Yasuo","disname":"U2000911_TFT5_Yasuo_19","type":5,"block":6,"hp":2592},{"name":"TFT5_Galio","disname":"U2001029_TFT5_Galio_22","type":5,"block":6,"hp":1800},{"name":"TFT5_Galio","disname":"U2001032_TFT5_Galio_3","type":5,"block":1,"hp":1000},{"name":"TFT5_Lux","disname":"U2000807_TFT5_Lux_2","type":5,"block":0,"hp":600},{"name":"TFT5_Varus","disname":"U2000468_TFT5_Varus_2","type":5,"block":6,"hp":600}]}</t>
  </si>
  <si>
    <t>{"success":true,"code":200,"msg":"鎴愬姛","data":["TFT5_Jax","TFT5_Yasuo","TFT5_Poppy","TFT5_Diana","TFT5_LeeSin"]}</t>
  </si>
  <si>
    <t>overflow</t>
  </si>
  <si>
    <t>{"success":true,"code":200,"msg":"鎴愬姛","data":["TFT5_Senna","Sold","TFT5_Gragas","TFT5_Sejuani","TFT5_Olaf"]}</t>
  </si>
  <si>
    <t>{"success":true,"code":200,"msg":"鎴愬姛","data":[{"isme":true,"zt":5,"fit":0,"name":"TFTChampion","disname":"AlphaChess","type":3,"block":8,"hp":100},{"fit":1,"name":"TFTChampion","disname":"bTL绾?9l075z686Q","type":3,"block":7,"hp":74},{"fit":1,"name":"TFTChampion","disname":"涓朵付澶х孩鐗檡f","type":3,"block":5,"hp":80},{"fit":0,"name":"TFTChampion","disname":"vXy榛?713776800Q","type":3,"block":2,"hp":74},{"fit":0,"name":"TFTChampion","disname":"棣欒崏鍐版縺鏋?,"type":3,"block":1,"hp":96},{"fit":1,"name":"TFTChampion","disname":"Monstar涓禖hina","type":3,"block":0,"hp":100},{"fit":0,"name":"TFTChampion","disname":"鐙瓙geigei","type":3,"block":3,"hp":94},{"fit":1,"name":"TFTChampion","disname":"0绮夎壊澶曢槼0","type":3,"block":6,"hp":94},{"name":"TFT5_Nautilus","disname":"U2000633_TFT5_Nautilus_2","type":5,"block":0,"hp":750},{"name":"TFT5_Brand","disname":"U2000531_TFT5_Brand_1","type":5,"block":5,"hp":600},{"name":"TFT5_Senna","disname":"U2000382_TFT5_Senna_1","type":5,"block":0,"hp":500},{"name":"TFT5_DraconicEgg","disname":"U2001271_TFT5_DraconicEgg_1","type":5,"block":5,"hp":3},{"name":"TFT5_Kalista","disname":"U2000441_TFT5_Kalista_1","type":5,"block":5,"hp":500},{"name":"TFT5_Nautilus","disname":"U2000640_TFT5_Nautilus_1","type":5,"block":0,"hp":750},{"name":"TFT5_Kalista","disname":"U2000425_TFT5_Kalista_1","type":5,"block":1,"hp":500},{"name":"TFT5_Leona","disname":"U2000139_TFT5_Leona_7","type":5,"block":8,"hp":700},{"name":"TFT5_Kled","disname":"U2000273_TFT5_Kled_2","type":5,"block":3,"hp":400},{"name":"TFT5_Kalista","disname":"U2000431_TFT5_Kalista_1","type":5,"block":8,"hp":500},{"name":"TFT5_Aatrox","disname":"U2000073_TFT5_Aatrox_8","type":5,"block":7,"hp":800},{"name":"TFT5_Aatrox","disname":"U2000097_TFT5_Aatrox_9","type":5,"block":8,"hp":1170},{"name":"TFT5_Varus","disname":"U2000452_TFT5_Varus_7","type":5,"block":8,"hp":600},{"name":"TFT5_Syndra","disname":"U2000512_TFT5_Syndra_5","type":5,"block":8,"hp":600},{"name":"TFT5_Hecarim","disname":"U2000550_TFT5_Hecarim_3","type":5,"block":8,"hp":750},{"name":"TFT5_Udyr","disname":"U2000182_TFT5_Udyr_6","type":5,"block":5,"hp":700},{"name":"TFT5_Kalista","disname":"U2000434_TFT5_Kalista_2","type":5,"block":5,"hp":500},{"name":"TFT5_Sett","disname":"U2000690_TFT5_Sett_6","type":5,"block":5,"hp":750},{"name":"TFT5_Zyra","disname":"U2000849_TFT5_Zyra_6","type":5,"block":5,"hp":600},{"name":"TFT5_Gragas","disname":"U2000305_TFT5_Gragas_9","type":5,"block":2,"hp":750},{"name":"TFT5_Senna","disname":"U2000372_TFT5_Senna_2","type":5,"block":1,"hp":500},{"name":"TFT5_Kalista","disname":"U2000440_TFT5_Kalista_8","type":5,"block":1,"hp":500},{"name":"TFT5_Varus","disname":"U2000460_TFT5_Varus_7","type":5,"block":1,"hp":1080},{"name":"TFT5_Sejuani","disname":"U2000586_TFT5_Sejuani_4","type":5,"block":1,"hp":750},{"name":"TFT5_Poppy","disname":"U2000277_TFT5_Poppy_8","type":5,"block":0,"hp":750},{"name":"TFT5_Senna","disname":"U2000383_TFT5_Senna_8","type":5,"block":0,"hp":500},{"name":"TFT5_Olaf","disname":"U2000398_TFT5_Olaf_7","type":5,"block":0,"hp":1170},{"name":"TFT5_Kennen","disname":"U2000623_TFT5_Kennen_3","type":5,"block":0,"hp":600},{"name":"TFT5_Poppy","disname":"U2000287_TFT5_Poppy_4","type":5,"block":3,"hp":1080},{"name":"TFT5_Kalista","disname":"U2000435_TFT5_Kalista_4","type":5,"block":3,"hp":900},{"name":"TFT5_Irelia","disname":"U2000709_TFT5_Irelia_3","type":5,"block":3,"hp":750},{"name":"TFT5_Tristana","disname":"U2000727_TFT5_Tristana_5","type":5,"block":3,"hp":550},{"name":"TFT5_Leona","disname":"U2000138_TFT5_Leona_6","type":5,"block":6,"hp":700},{"name":"TFT5_Vladimir","disname":"U2000215_TFT5_Vladimir_7","type":5,"block":6,"hp":1170},{"name":"TFT5_Poppy","disname":"U2000276_TFT5_Poppy_9","type":5,"block":6,"hp":600},{"name":"TFT5_Sett","disname":"U2000680_TFT5_Sett_1","type":5,"block":3,"hp":750},{"name":"TFT5_MissFortune","disname":"U2000918_TFT5_MissFortune_2","type":5,"block":7,"hp":700},{"name":"TFT5_Rakan","disname":"U2000810_TFT5_Rakan_2","type":5,"block":8,"hp":800},{"name":"TFT5_Sett","disname":"U2000683_TFT5_Sett_3","type":5,"block":5,"hp":750},{"name":"TFT5_Irelia","disname":"U2000695_TFT5_Irelia_2","type":5,"block":2,"hp":750},{"name":"TFT5_Nocturne","disname":"U2000936_TFT5_Nocturne_2","type":5,"block":1,"hp":650},{"name":"TFT5_Kennen","disname":"U2000616_TFT5_Kennen_2","type":5,"block":0,"hp":600},{"name":"TFT5_Riven","disname":"U2000738_TFT5_Riven_2","type":5,"block":3,"hp":850},{"name":"TFT5_Hecarim","disname":"U2000545_TFT5_Hecarim_2","type":5,"block":6,"hp":750},{"name":"TFT5_DraconicEgg","disname":"U2001308_TFT5_DraconicEgg_1","type":5,"block":5,"hp":1},{"name":"TFT5_Kled","disname":"U2000259_TFT5_Kled_1","type":5,"block":3,"hp":400},{"name":"TFT5_Nunu","disname":"U2000871_TFT5_Nunu_1","type":5,"block":8,"hp":900},{"name":"TFT5_Udyr","disname":"U2000176_TFT5_Udyr_1","type":5,"block":0,"hp":700},{"name":"TFT5_LeeSin","disname":"U2000766_TFT5_LeeSin_1","type":5,"block":0,"hp":850}]}</t>
  </si>
  <si>
    <t>{"success":true,"code":200,"msg":"鎴愬姛","data":["TFT5_Leona","TFT5_Ziggs","TFT5_Aatrox","TFT5_Kennen","TFT5_Syndra"]}</t>
  </si>
  <si>
    <t>{"success":true,"code":200,"msg":"鎴愬姛","data":[{"isme":true,"zt":5,"fit":0,"name":"TFTChampion","disname":"AlphaChess","type":3,"block":8,"hp":100},{"fit":1,"name":"TFTChampion","disname":"bTL绾?9l075z686Q","type":3,"block":7,"hp":66},{"fit":1,"name":"TFTChampion","disname":"涓朵付澶х孩鐗檡f","type":3,"block":5,"hp":76},{"fit":1,"name":"TFTChampion","disname":"vXy榛?713776800Q","type":3,"block":2,"hp":64},{"fit":0,"name":"TFTChampion","disname":"棣欒崏鍐版縺鏋?,"type":3,"block":1,"hp":96},{"fit":1,"name":"TFTChampion","disname":"Monstar涓禖hina","type":3,"block":0,"hp":90},{"fit":0,"name":"TFTChampion","disname":"鐙瓙geigei","type":3,"block":3,"hp":94},{"fit":1,"name":"TFTChampion","disname":"0绮夎壊澶曢槼0","type":3,"block":6,"hp":94},{"name":"TFT5_Nautilus","disname":"U2000633_TFT5_Nautilus_2","type":5,"block":0,"hp":750},{"name":"TFT5_Brand","disname":"U2000531_TFT5_Brand_1","type":5,"block":5,"hp":600},{"name":"TFT5_Senna","disname":"U2000382_TFT5_Senna_1","type":5,"block":0,"hp":500},{"name":"TFT5_DraconicEgg","disname":"U2001271_TFT5_DraconicEgg_1","type":5,"block":5,"hp":3},{"name":"TFT5_Kalista","disname":"U2000441_TFT5_Kalista_1","type":5,"block":5,"hp":500},{"name":"TFT5_Nautilus","disname":"U2000640_TFT5_Nautilus_1","type":5,"block":0,"hp":750},{"name":"TFT5_Kalista","disname":"U2000425_TFT5_Kalista_1","type":5,"block":1,"hp":500},{"name":"TFT5_Leona","disname":"U2000139_TFT5_Leona_7","type":5,"block":8,"hp":700},{"name":"TFT5_Kled","disname":"U2000273_TFT5_Kled_2","type":5,"block":3,"hp":720},{"name":"TFT5_Kalista","disname":"U2000431_TFT5_Kalista_1","type":5,"block":8,"hp":500},{"name":"TFT5_Hecarim","disname":"U2000550_TFT5_Hecarim_3","type":5,"block":8,"hp":750},{"name":"TFT5_Sett","disname":"U2000683_TFT5_Sett_3","type":5,"block":5,"hp":750},{"name":"TFT5_Kennen","disname":"U2000616_TFT5_Kennen_2","type":5,"block":0,"hp":600},{"name":"TFT5_DraconicEgg","disname":"U2001308_TFT5_DraconicEgg_1","type":5,"block":5,"hp":1},{"name":"TFT5_Udyr","disname":"U2000176_TFT5_Udyr_1","type":5,"block":0,"hp":700},{"name":"TFT5_LeeSin","disname":"U2000766_TFT5_LeeSin_1","type":5,"block":0,"hp":850},{"name":"TFT5_Poppy","disname":"U2000300_TFT5_Poppy_1","type":5,"block":3,"hp":600},{"name":"TFT5_Aatrox","disname":"U2000095_TFT5_Aatrox_1","type":5,"block":3,"hp":650},{"name":"TFT5_Aatrox","disname":"U2000086_TFT5_Aatrox_1","type":5,"block":3,"hp":650},{"name":"TFT5_Gragas","disname":"U2000324_TFT5_Gragas_1","type":5,"block":8,"hp":750},{"name":"TFT5_Irelia","disname":"U2000707_TFT5_Irelia_1","type":5,"block":6,"hp":750},{"name":"TFT5_Ziggs","disname":"U2000361_TFT5_Ziggs_1","type":5,"block":6,"hp":450},{"name":"TFT5_Aatrox","disname":"U2000073_TFT5_Aatrox_9","type":5,"block":7,"hp":800},{"name":"TFT5_MissFortune","disname":"U2000918_TFT5_MissFortune_3","type":5,"block":7,"hp":700},{"name":"TFT5_Aatrox","disname":"U2000097_TFT5_Aatrox_10","type":5,"block":8,"hp":1170},{"name":"TFT5_Varus","disname":"U2000452_TFT5_Varus_8","type":5,"block":8,"hp":600},{"name":"TFT5_Syndra","disname":"U2000512_TFT5_Syndra_6","type":5,"block":8,"hp":600},{"name":"TFT5_Rakan","disname":"U2000810_TFT5_Rakan_3","type":5,"block":8,"hp":800},{"name":"TFT5_Nunu","disname":"U2000871_TFT5_Nunu_2","type":5,"block":8,"hp":900},{"name":"TFT5_Udyr","disname":"U2000182_TFT5_Udyr_7","type":5,"block":5,"hp":700},{"name":"TFT5_Kalista","disname":"U2000434_TFT5_Kalista_3","type":5,"block":5,"hp":500},{"name":"TFT5_Sett","disname":"U2000690_TFT5_Sett_7","type":5,"block":5,"hp":750},{"name":"TFT5_Zyra","disname":"U2000849_TFT5_Zyra_7","type":5,"block":5,"hp":600},{"name":"TFT5_Gragas","disname":"U2000305_TFT5_Gragas_11","type":5,"block":2,"hp":750},{"name":"TFT5_Irelia","disname":"U2000695_TFT5_Irelia_4","type":5,"block":2,"hp":750},{"name":"TFT5_Senna","disname":"U2000372_TFT5_Senna_4","type":5,"block":1,"hp":500},{"name":"TFT5_Kalista","disname":"U2000440_TFT5_Kalista_10","type":5,"block":1,"hp":500},{"name":"TFT5_Varus","disname":"U2000460_TFT5_Varus_9","type":5,"block":1,"hp":1080},{"name":"TFT5_Sejuani","disname":"U2000586_TFT5_Sejuani_6","type":5,"block":1,"hp":750},{"name":"TFT5_Nocturne","disname":"U2000936_TFT5_Nocturne_4","type":5,"block":1,"hp":650},{"name":"TFT5_Poppy","disname":"U2000277_TFT5_Poppy_9","type":5,"block":0,"hp":750},{"name":"TFT5_Senna","disname":"U2000383_TFT5_Senna_9","type":5,"block":0,"hp":500},{"name":"TFT5_Olaf","disname":"U2000398_TFT5_Olaf_8","type":5,"block":0,"hp":1170},{"name":"TFT5_Kennen","disname":"U2000623_TFT5_Kennen_4","type":5,"block":0,"hp":600},{"name":"TFT5_Poppy","disname":"U2000287_TFT5_Poppy_6","type":5,"block":3,"hp":1080},{"name":"TFT5_Kalista","disname":"U2000435_TFT5_Kalista_6","type":5,"block":3,"hp":900},{"name":"TFT5_Tristana","disname":"U2000727_TFT5_Tristana_7","type":5,"block":3,"hp":550},{"name":"TFT5_Riven","disname":"U2000738_TFT5_Riven_4","type":5,"block":3,"hp":850},{"name":"TFT5_Leona","disname":"U2000138_TFT5_Leona_8","type":5,"block":6,"hp":700},{"name":"TFT5_Vladimir","disname":"U2000215_TFT5_Vladimir_9","type":5,"block":6,"hp":1170},{"name":"TFT5_Poppy","disname":"U2000276_TFT5_Poppy_11","type":5,"block":6,"hp":600},{"name":"TFT5_DraconicEgg","disname":"U2001313_TFT5_DraconicEgg_1","type":5,"block":5,"hp":1},{"name":"TFT5_Poppy","disname":"U2000303_TFT5_Poppy_1","type":5,"block":3,"hp":600}]}</t>
  </si>
  <si>
    <t>{"success":true,"code":200,"msg":"鎴愬姛","data":[{"isme":true,"zt":5,"fit":0,"name":"TFTChampion","disname":"AlphaChess","type":3,"block":8,"hp":99},{"fit":1,"name":"TFTChampion","disname":"bTL绾?9l075z686Q","type":3,"block":7,"hp":58},{"fit":1,"name":"TFTChampion","disname":"涓朵付澶х孩鐗檡f","type":3,"block":5,"hp":76},{"fit":1,"name":"TFTChampion","disname":"vXy榛?713776800Q","type":3,"block":2,"hp":54},{"fit":0,"name":"TFTChampion","disname":"棣欒崏鍐版縺鏋?,"type":3,"block":1,"hp":96},{"fit":1,"name":"TFTChampion","disname":"Monstar涓禖hina","type":3,"block":0,"hp":90},{"fit":1,"name":"TFTChampion","disname":"鐙瓙geigei","type":3,"block":3,"hp":94},{"fit":1,"name":"TFTChampion","disname":"0绮夎壊澶曢槼0","type":3,"block":6,"hp":92},{"name":"TFT5_Nautilus","disname":"U2000633_TFT5_Nautilus_2","type":5,"block":0,"hp":750},{"name":"TFT5_Brand","disname":"U2000531_TFT5_Brand_1","type":5,"block":5,"hp":600},{"name":"TFT5_Senna","disname":"U2000382_TFT5_Senna_1","type":5,"block":0,"hp":500},{"name":"TFT5_Kalista","disname":"U2000441_TFT5_Kalista_1","type":5,"block":5,"hp":500},{"name":"TFT5_Nautilus","disname":"U2000640_TFT5_Nautilus_1","type":5,"block":0,"hp":750},{"name":"TFT5_Kalista","disname":"U2000425_TFT5_Kalista_1","type":5,"block":1,"hp":500},{"name":"TFT5_Leona","disname":"U2000139_TFT5_Leona_7","type":5,"block":8,"hp":700},{"name":"TFT5_Kled","disname":"U2000273_TFT5_Kled_2","type":5,"block":3,"hp":720},{"name":"TFT5_Kennen","disname":"U2000616_TFT5_Kennen_2","type":5,"block":0,"hp":600},{"name":"TFT5_Udyr","disname":"U2000176_TFT5_Udyr_1","type":5,"block":0,"hp":700},{"name":"TFT5_LeeSin","disname":"U2000766_TFT5_LeeSin_1","type":5,"block":0,"hp":850},{"name":"TFT5_Poppy","disname":"U2000300_TFT5_Poppy_1","type":5,"block":3,"hp":1080},{"name":"TFT5_Aatrox","disname":"U2000095_TFT5_Aatrox_1","type":5,"block":3,"hp":650},{"name":"TFT5_Aatrox","disname":"U2000086_TFT5_Aatrox_1","type":5,"block":3,"hp":650},{"name":"TFT5_Rakan","disname":"U2000810_TFT5_Rakan_3","type":5,"block":8,"hp":800},{"name":"TFT5_DraconicEgg","disname":"U2001313_TFT5_DraconicEgg_1","type":5,"block":5,"hp":1},{"name":"TFT5_Senna","disname":"U2000389_TFT5_Senna_1","type":5,"block":3,"hp":500},{"name":"TFT5_Udyr","disname":"U2000163_TFT5_Udyr_1","type":5,"block":5,"hp":700},{"name":"TFT5_Zyra","disname":"U2000858_TFT5_Zyra_1","type":5,"block":5,"hp":600},{"name":"TFT5_Udyr","disname":"U2000167_TFT5_Udyr_1","type":5,"block":0,"hp":700},{"name":"TFT5_Syndra","disname":"U2000509_TFT5_Syndra_1","type":5,"block":8,"hp":600},{"name":"TFT5_Leona","disname":"U2000136_TFT5_Leona_1","type":5,"block":8,"hp":700},{"name":"TFT5_Aatrox","disname":"U2000073_TFT5_Aatrox_11","type":5,"block":7,"hp":800},{"name":"TFT5_MissFortune","disname":"U2000918_TFT5_MissFortune_5","type":5,"block":7,"hp":700},{"name":"TFT5_Aatrox","disname":"U2000097_TFT5_Aatrox_12","type":5,"block":8,"hp":1170},{"name":"TFT5_Kalista","disname":"U2000431_TFT5_Kalista_3","type":5,"block":8,"hp":500},{"name":"TFT5_Varus","disname":"U2000452_TFT5_Varus_10","type":5,"block":8,"hp":600},{"name":"TFT5_Syndra","disname":"U2000512_TFT5_Syndra_8","type":5,"block":8,"hp":600},{"name":"TFT5_Nunu","disname":"U2000871_TFT5_Nunu_4","type":5,"block":8,"hp":900},{"name":"TFT5_Udyr","disname":"U2000182_TFT5_Udyr_8","type":5,"block":5,"hp":1260},{"name":"TFT5_Kalista","disname":"U2000434_TFT5_Kalista_4","type":5,"block":5,"hp":500},{"name":"TFT5_Ashe","disname":"U2000828_TFT5_Ashe_2","type":5,"block":5,"hp":550},{"name":"TFT5_Zyra","disname":"U2000849_TFT5_Zyra_8","type":5,"block":5,"hp":600},{"name":"TFT5_Gragas","disname":"U2000305_TFT5_Gragas_12","type":5,"block":2,"hp":750},{"name":"TFT5_Irelia","disname":"U2000695_TFT5_Irelia_5","type":5,"block":2,"hp":750},{"name":"TFT5_Senna","disname":"U2000372_TFT5_Senna_6","type":5,"block":1,"hp":500},{"name":"TFT5_Kalista","disname":"U2000440_TFT5_Kalista_12","type":5,"block":1,"hp":500},{"name":"TFT5_Varus","disname":"U2000460_TFT5_Varus_11","type":5,"block":1,"hp":1080},{"name":"TFT5_Sejuani","disname":"U2000586_TFT5_Sejuani_8","type":5,"block":1,"hp":750},{"name":"TFT5_Nocturne","disname":"U2000936_TFT5_Nocturne_6","type":5,"block":1,"hp":650},{"name":"TFT5_Poppy","disname":"U2000277_TFT5_Poppy_11","type":5,"block":0,"hp":750},{"name":"TFT5_Senna","disname":"U2000383_TFT5_Senna_11","type":5,"block":0,"hp":500},{"name":"TFT5_Olaf","disname":"U2000398_TFT5_Olaf_10","type":5,"block":0,"hp":1170},{"name":"TFT5_Kennen","disname":"U2000623_TFT5_Kennen_6","type":5,"block":0,"hp":600},{"name":"TFT5_Poppy","disname":"U2000287_TFT5_Poppy_7","type":5,"block":3,"hp":1080},{"name":"TFT5_Kalista","disname":"U2000435_TFT5_Kalista_7","type":5,"block":3,"hp":900},{"name":"TFT5_Tristana","disname":"U2000727_TFT5_Tristana_8","type":5,"block":3,"hp":550},{"name":"TFT5_Riven","disname":"U2000738_TFT5_Riven_5","type":5,"block":3,"hp":850},{"name":"TFT5_Leona","disname":"U2000138_TFT5_Leona_9","type":5,"block":6,"hp":700},{"name":"TFT5_Vladimir","disname":"U2000201_TFT5_Vladimir_2","type":5,"block":6,"hp":650},{"name":"TFT5_Vladimir","disname":"U2000215_TFT5_Vladimir_10","type":5,"block":6,"hp":1170},{"name":"TFT5_Poppy","disname":"U2000276_TFT5_Poppy_12","type":5,"block":6,"hp":600},{"name":"TFT5_DraconicEgg","disname":"U2001321_TFT5_DraconicEgg_1","type":5,"block":5,"hp":1}]}</t>
  </si>
  <si>
    <t>"block":8,"hp":99</t>
  </si>
  <si>
    <t>{"success":true,"code":200,"msg":"鎴愬姛","data":["TFT5_Sejuani","TFT5_Zyra","TFT5_Nunu","TFT5_Lulu","TFT5_Riven"]}</t>
  </si>
  <si>
    <t>{"success":true,"code":200,"msg":"鎴愬姛","data":[{"isme":true,"zt":5,"fit":0,"name":"TFTChampion","disname":"AlphaChess","type":3,"block":8,"hp":99},{"fit":1,"name":"TFTChampion","disname":"bTL绾?9l075z686Q","type":3,"block":7,"hp":44},{"fit":1,"name":"TFTChampion","disname":"涓朵付澶х孩鐗檡f","type":3,"block":5,"hp":76},{"fit":1,"name":"TFTChampion","disname":"vXy榛?713776800Q","type":3,"block":2,"hp":36},{"fit":0,"name":"TFTChampion","disname":"棣欒崏鍐版縺鏋?,"type":3,"block":1,"hp":90},{"fit":2,"name":"TFTChampion","disname":"Monstar涓禖hina","type":3,"block":0,"hp":86},{"fit":1,"name":"TFTChampion","disname":"鐙瓙geigei","type":3,"block":3,"hp":94},{"fit":1,"name":"TFTChampion","disname":"0绮夎壊澶曢槼0","type":3,"block":6,"hp":92},{"name":"TFT5_Nautilus","disname":"U2000633_TFT5_Nautilus_2","type":5,"block":0,"hp":750},{"name":"TFT5_Brand","disname":"U2000531_TFT5_Brand_1","type":5,"block":5,"hp":600},{"name":"TFT5_Nautilus","disname":"U2000640_TFT5_Nautilus_1","type":5,"block":0,"hp":750},{"name":"TFT5_Kalista","disname":"U2000425_TFT5_Kalista_1","type":5,"block":1,"hp":500},{"name":"TFT5_Leona","disname":"U2000139_TFT5_Leona_7","type":5,"block":8,"hp":700},{"name":"TFT5_Kennen","disname":"U2000616_TFT5_Kennen_2","type":5,"block":0,"hp":600},{"name":"TFT5_LeeSin","disname":"U2000766_TFT5_LeeSin_1","type":5,"block":0,"hp":850},{"name":"TFT5_Zyra","disname":"U2000858_TFT5_Zyra_1","type":5,"block":5,"hp":600},{"name":"TFT5_Udyr","disname":"U2000167_TFT5_Udyr_1","type":5,"block":0,"hp":700},{"name":"TFT5_Syndra","disname":"U2000509_TFT5_Syndra_1","type":5,"block":8,"hp":600},{"name":"TFT5_Leona","disname":"U2000136_TFT5_Leona_1","type":5,"block":8,"hp":700},{"name":"TFT5_Irelia","disname":"U2000701_TFT5_Irelia_1","type":5,"block":0,"hp":750},{"name":"TFT5_Kennen","disname":"U2000615_TFT5_Kennen_1","type":5,"block":8,"hp":600},{"name":"TFT5_Brand","disname":"U2000537_TFT5_Brand_1","type":5,"block":3,"hp":600},{"name":"TFT5_Varus","disname":"U2000451_TFT5_Varus_1","type":5,"block":8,"hp":600},{"name":"TFT5_Kled","disname":"U2000264_TFT5_Kled_1","type":5,"block":3,"hp":400},{"name":"TFT5_Kalista","disname":"U2000431_TFT5_Kalista_4","type":5,"block":8,"hp":500},{"name":"TFT5_Syndra","disname":"U2000512_TFT5_Syndra_9","type":5,"block":8,"hp":600},{"name":"TFT5_Nunu","disname":"U2000871_TFT5_Nunu_5","type":5,"block":8,"hp":900},{"name":"TFT5_Tristana","disname":"U2000727_TFT5_Tristana_9","type":5,"block":3,"hp":550},{"name":"TestCubeRender","disname":"TestCube","type":5,"block":0,"hp":100},{"name":"TestCubeRender","disname":"TestCube","type":5,"block":0,"hp":100},{"name":"TFT5_Nunu","disname":"U2000865_TFT5_Nunu_1","type":5,"block":5,"hp":900},{"name":"TFT5_Rakan","disname":"U2000818_TFT5_Rakan_1","type":5,"block":8,"hp":800},{"name":"TFT5_Kalista","disname":"U2000439_TFT5_Kalista_1","type":5,"block":3,"hp":500},{"name":"TFT5_LeeSin","disname":"U2000769_TFT5_LeeSin_1","type":5,"block":0,"hp":850},{"name":"TFT5_Kled","disname":"U2000255_TFT5_Kled_1","type":5,"block":3,"hp":400},{"name":"TFT5_Senna","disname":"U2000365_TFT5_Senna_1","type":5,"block":3,"hp":500},{"name":"TFT5_Senna","disname":"U2000388_TFT5_Senna_1","type":5,"block":3,"hp":500},{"name":"TFT5_Leona","disname":"U2000147_TFT5_Leona_1","type":5,"block":6,"hp":700},{"name":"TFT5_Aatrox","disname":"U2000073_TFT5_Aatrox_14","type":5,"block":7,"hp":800},{"name":"TFT5_MissFortune","disname":"U2000918_TFT5_MissFortune_8","type":5,"block":7,"hp":700},{"name":"TFT5_Aatrox","disname":"U2000097_TFT5_Aatrox_15","type":5,"block":8,"hp":1170},{"name":"TFT5_Varus","disname":"U2000452_TFT5_Varus_13","type":5,"block":8,"hp":600},{"name":"TFT5_Lux","disname":"U2000793_TFT5_Lux_3","type":5,"block":8,"hp":600},{"name":"TFT5_Rakan","disname":"U2000810_TFT5_Rakan_5","type":5,"block":8,"hp":800},{"name":"TFT5_Ashe","disname":"U2000840_TFT5_Ashe_3","type":5,"block":8,"hp":550},{"name":"TFT5_Udyr","disname":"U2000182_TFT5_Udyr_10","type":5,"block":5,"hp":1260},{"name":"TFT5_Kalista","disname":"U2000434_TFT5_Kalista_6","type":5,"block":5,"hp":900},{"name":"TFT5_Sett","disname":"U2000676_TFT5_Sett_4","type":5,"block":5,"hp":1350},{"name":"TFT5_Ashe","disname":"U2000828_TFT5_Ashe_4","type":5,"block":5,"hp":550},{"name":"TFT5_Zyra","disname":"U2000849_TFT5_Zyra_10","type":5,"block":5,"hp":600},{"name":"TFT5_Gragas","disname":"U2000305_TFT5_Gragas_15","type":5,"block":2,"hp":750},{"name":"TFT5_Irelia","disname":"U2000695_TFT5_Irelia_8","type":5,"block":2,"hp":750},{"name":"TFT5_Senna","disname":"U2000364_TFT5_Senna_3","type":5,"block":1,"hp":500},{"name":"TFT5_Senna","disname":"U2000372_TFT5_Senna_9","type":5,"block":1,"hp":500},{"name":"TFT5_Varus","disname":"U2000460_TFT5_Varus_14","type":5,"block":1,"hp":1080},{"name":"TFT5_Sejuani","disname":"U2000586_TFT5_Sejuani_11","type":5,"block":1,"hp":750},{"name":"TFT5_Nautilus","disname":"U2000638_TFT5_Nautilus_3","type":5,"block":1,"hp":750},{"name":"TFT5_Udyr","disname":"U2000176_TFT5_Udyr_3","type":5,"block":0,"hp":700},{"name":"TFT5_Poppy","disname":"U2000277_TFT5_Poppy_13","type":5,"block":0,"hp":750},{"name":"TFT5_Olaf","disname":"U2000398_TFT5_Olaf_12","type":5,"block":0,"hp":1170},{"name":"TFT5_Kennen","disname":"U2000623_TFT5_Kennen_8","type":5,"block":0,"hp":600},{"name":"TFT5_Nidalee","disname":"U2000894_TFT5_Nidalee_2","type":5,"block":0,"hp":800},{"name":"TFT5_Aatrox","disname":"U2000087_TFT5_Aatrox_2","type":5,"block":3,"hp":1170},{"name":"TFT5_Kled","disname":"U2000273_TFT5_Kled_4","type":5,"block":3,"hp":720},{"name":"TFT5_Senna","disname":"U2000389_TFT5_Senna_2","type":5,"block":3,"hp":900},{"name":"TFT5_Kalista","disname":"U2000435_TFT5_Kalista_9","type":5,"block":3,"hp":900},{"name":"TFT5_Riven","disname":"U2000738_TFT5_Riven_7","type":5,"block":3,"hp":850},{"name":"TFT5_Leona","disname":"U2000138_TFT5_Leona_11","type":5,"block":6,"hp":700},{"name":"TFT5_Vladimir","disname":"U2000201_TFT5_Vladimir_4","type":5,"block":6,"hp":650},{"name":"TFT5_Vladimir","disname":"U2000215_TFT5_Vladimir_12","type":5,"block":6,"hp":1170},{"name":"TFT5_Lulu","disname":"U2000788_TFT5_Lulu_2","type":5,"block":6,"hp":650},{"name":"TFT5_DraconicEgg","disname":"U2001365_TFT5_DraconicEgg_1","type":5,"block":5,"hp":2},{"name":"TFT5_Sett","disname":"U2000671_TFT5_Sett_1","type":5,"block":5,"hp":750},{"name":"TFT5_Udyr","disname":"U2000160_TFT5_Udyr_1","type":5,"block":5,"hp":1260}]}</t>
  </si>
  <si>
    <t>{"success":true,"code":200,"msg":"鎴愬姛","data":[{"isme":true,"zt":5,"fit":0,"name":"TFTChampion","disname":"AlphaChess","type":3,"block":8,"hp":95},{"fit":2,"name":"TFTChampion","disname":"bTL绾?9l075z686Q","type":3,"block":7,"hp":19},{"fit":2,"name":"TFTChampion","disname":"涓朵付澶х孩鐗檡f","type":3,"block":5,"hp":76},{"fit":1,"name":"TFTChampion","disname":"vXy榛?713776800Q","type":3,"block":2,"hp":16},{"fit":0,"name":"TFTChampion","disname":"棣欒崏鍐版縺鏋?,"type":3,"block":1,"hp":80},{"fit":2,"name":"TFTChampion","disname":"Monstar涓禖hina","type":3,"block":0,"hp":86},{"fit":1,"name":"TFTChampion","disname":"鐙瓙geigei","type":3,"block":3,"hp":88},{"fit":1,"name":"TFTChampion","disname":"0绮夎壊澶曢槼0","type":3,"block":6,"hp":86},{"name":"TFT5_Nautilus","disname":"U2000633_TFT5_Nautilus_2","type":5,"block":0,"hp":750},{"name":"TFT5_Brand","disname":"U2000531_TFT5_Brand_1","type":5,"block":5,"hp":600},{"name":"TFT5_Nautilus","disname":"U2000640_TFT5_Nautilus_1","type":5,"block":0,"hp":750},{"name":"TFT5_Kalista","disname":"U2000425_TFT5_Kalista_1","type":5,"block":1,"hp":500},{"name":"TFT5_Kennen","disname":"U2000616_TFT5_Kennen_2","type":5,"block":0,"hp":600},{"name":"TFT5_Zyra","disname":"U2000858_TFT5_Zyra_1","type":5,"block":5,"hp":600},{"name":"TFT5_Udyr","disname":"U2000167_TFT5_Udyr_1","type":5,"block":0,"hp":700},{"name":"TFT5_Irelia","disname":"U2000701_TFT5_Irelia_1","type":5,"block":0,"hp":750},{"name":"TFT5_Brand","disname":"U2000537_TFT5_Brand_1","type":5,"block":3,"hp":600},{"name":"TFT5_Kled","disname":"U2000264_TFT5_Kled_1","type":5,"block":3,"hp":720},{"name":"TFT5_Syndra","disname":"U2000512_TFT5_Syndra_9","type":5,"block":8,"hp":600},{"name":"TestCubeRender","disname":"TestCube","type":5,"block":0,"hp":100},{"name":"TestCubeRender","disname":"TestCube","type":5,"block":0,"hp":100},{"name":"TFT5_Nunu","disname":"U2000865_TFT5_Nunu_1","type":5,"block":5,"hp":900},{"name":"TFT5_Rakan","disname":"U2000818_TFT5_Rakan_1","type":5,"block":8,"hp":800},{"name":"TFT5_Kalista","disname":"U2000439_TFT5_Kalista_1","type":5,"block":3,"hp":500},{"name":"TFT5_LeeSin","disname":"U2000769_TFT5_LeeSin_1","type":5,"block":0,"hp":1530},{"name":"TFT5_Kalista","disname":"U2000435_TFT5_Kalista_9","type":5,"block":3,"hp":900},{"name":"TFT5_Udyr","disname":"U2000160_TFT5_Udyr_1","type":5,"block":5,"hp":1260},{"name":"TFT5_Senna","disname":"U2000379_TFT5_Senna_1","type":5,"block":3,"hp":900},{"name":"TFT5_Aatrox","disname":"U2000075_TFT5_Aatrox_1","type":5,"block":3,"hp":650},{"name":"TFT5_Irelia","disname":"U2000706_TFT5_Irelia_1","type":5,"block":0,"hp":750},{"name":"TFT5_Senna","disname":"U2000384_TFT5_Senna_1","type":5,"block":3,"hp":500},{"name":"TFT5_MissFortune","disname":"U2000923_TFT5_MissFortune_1","type":5,"block":3,"hp":700},{"name":"TFT5_Varus","disname":"U2000452_TFT5_Varus_14","type":5,"block":8,"hp":600},{"name":"TFT5_Ashe","disname":"U2000840_TFT5_Ashe_4","type":5,"block":8,"hp":550},{"name":"TFT5_DraconicEgg","disname":"U2001370_TFT5_DraconicEgg_1","type":5,"block":5,"hp":3},{"name":"TFT5_Kalista","disname":"U2000430_TFT5_Kalista_1","type":5,"block":5,"hp":500},{"name":"TFT5_Kalista","disname":"U2000433_TFT5_Kalista_1","type":5,"block":5,"hp":500},{"name":"TestCubeRender","disname":"TestCube","type":5,"block":6,"hp":100},{"name":"TestCubeRender","disname":"TestCube","type":5,"block":6,"hp":100},{"name":"TestCubeRender","disname":"TestCube","type":5,"block":6,"hp":100},{"name":"TFT5_Lux","disname":"U2000806_TFT5_Lux_1","type":5,"block":6,"hp":600},{"name":"TFT5_Aatrox","disname":"U2000073_TFT5_Aatrox_17","type":5,"block":7,"hp":800},{"name":"TFT5_MissFortune","disname":"U2000918_TFT5_MissFortune_11","type":5,"block":7,"hp":700},{"name":"TFT5_Aatrox","disname":"U2000097_TFT5_Aatrox_18","type":5,"block":8,"hp":1170},{"name":"TFT5_Riven","disname":"U2000750_TFT5_Riven_4","type":5,"block":8,"hp":850},{"name":"TFT5_Lulu","disname":"U2000777_TFT5_Lulu_4","type":5,"block":8,"hp":650},{"name":"TFT5_Lux","disname":"U2000793_TFT5_Lux_6","type":5,"block":8,"hp":600},{"name":"TFT5_Rakan","disname":"U2000810_TFT5_Rakan_7","type":5,"block":8,"hp":800},{"name":"TFT5_Velkoz","disname":"U2001014_TFT5_Velkoz_3","type":5,"block":8,"hp":700},{"name":"TFT5_Udyr","disname":"U2000182_TFT5_Udyr_13","type":5,"block":5,"hp":1260},{"name":"TFT5_Kalista","disname":"U2000434_TFT5_Kalista_9","type":5,"block":5,"hp":900},{"name":"TFT5_Sett","disname":"U2000676_TFT5_Sett_7","type":5,"block":5,"hp":1350},{"name":"TFT5_Ashe","disname":"U2000828_TFT5_Ashe_7","type":5,"block":5,"hp":550},{"name":"TFT5_Zyra","disname":"U2000849_TFT5_Zyra_13","type":5,"block":5,"hp":600},{"name":"TFT5_Gragas","disname":"U2000305_TFT5_Gragas_19","type":5,"block":2,"hp":750},{"name":"TFT5_Irelia","disname":"U2000695_TFT5_Irelia_12","type":5,"block":2,"hp":750},{"name":"TFT5_Senna","disname":"U2000364_TFT5_Senna_6","type":5,"block":1,"hp":500},{"name":"TFT5_Senna","disname":"U2000372_TFT5_Senna_12","type":5,"block":1,"hp":500},{"name":"TFT5_Varus","disname":"U2000460_TFT5_Varus_17","type":5,"block":1,"hp":1080},{"name":"TFT5_Sejuani","disname":"U2000586_TFT5_Sejuani_14","type":5,"block":1,"hp":750},{"name":"TFT5_Nautilus","disname":"U2000638_TFT5_Nautilus_6","type":5,"block":1,"hp":750},{"name":"TFT5_Udyr","disname":"U2000176_TFT5_Udyr_5","type":5,"block":0,"hp":700},{"name":"TFT5_Poppy","disname":"U2000277_TFT5_Poppy_15","type":5,"block":0,"hp":900},{"name":"TFT5_Olaf","disname":"U2000398_TFT5_Olaf_14","type":5,"block":0,"hp":1170},{"name":"TFT5_Kennen","disname":"U2000623_TFT5_Kennen_10","type":5,"block":0,"hp":600},{"name":"TFT5_Nidalee","disname":"U2000894_TFT5_Nidalee_4","type":5,"block":0,"hp":800},{"name":"TFT5_Aatrox","disname":"U2000087_TFT5_Aatrox_6","type":5,"block":3,"hp":1170},{"name":"TFT5_Kled","disname":"U2000273_TFT5_Kled_8","type":5,"block":3,"hp":720},{"name":"TFT5_Senna","disname":"U2000389_TFT5_Senna_6","type":5,"block":3,"hp":900},{"name":"TFT5_Tristana","disname":"U2000727_TFT5_Tristana_13","type":5,"block":3,"hp":550},{"name":"TFT5_Riven","disname":"U2000738_TFT5_Riven_11","type":5,"block":3,"hp":850},{"name":"TFT5_Vladimir","disname":"U2000201_TFT5_Vladimir_6","type":5,"block":6,"hp":650},{"name":"TFT5_Vladimir","disname":"U2000215_TFT5_Vladimir_14","type":5,"block":6,"hp":1320},{"name":"TFT5_Sejuani","disname":"U2000604_TFT5_Sejuani_3","type":5,"block":6,"hp":750},{"name":"TFT5_Lulu","disname":"U2000788_TFT5_Lulu_4","type":5,"block":6,"hp":650},{"name":"TFT5_Galio","disname":"U2001027_TFT5_Galio_2","type":5,"block":7,"hp":1150},{"name":"TFT5_Velkoz","disname":"U2001003_TFT5_Velkoz_2","type":5,"block":8,"hp":700},{"name":"TFT5_Sejuani","disname":"U2000590_TFT5_Sejuani_2","type":5,"block":5,"hp":750},{"name":"TFT5_Yasuo","disname":"U2000905_TFT5_Yasuo_2","type":5,"block":2,"hp":800},{"name":"TFT5_Lucian","disname":"U2000979_TFT5_Lucian_2","type":5,"block":1,"hp":800},{"name":"TFT5_LeeSin","disname":"U2000756_TFT5_LeeSin_2","type":5,"block":0,"hp":850},{"name":"TFT5_Syndra","disname":"U2000498_TFT5_Syndra_2","type":5,"block":6,"hp":600},{"name":"TFT5_DraconicEgg","disname":"U2001395_TFT5_DraconicEgg_1","type":5,"block":5,"hp":2}]}</t>
  </si>
  <si>
    <t>{"success":true,"code":200,"msg":"鎴愬姛","data":["TFT5_Jax","TFT5_Leona","TFT5_Brand","TFT5_Rakan","TFT5_Nocturne"]}</t>
  </si>
  <si>
    <t>{"success":true,"code":200,"msg":"鎴愬姛","data":[{"isme":true,"zt":5,"fit":0,"name":"TFTChampion","disname":"AlphaChess","type":3,"block":8,"hp":88},{"fit":2,"name":"TFTChampion","disname":"bTL绾?9l075z686Q","type":3,"block":7,"hp":0},{"fit":2,"name":"TFTChampion","disname":"涓朵付澶х孩鐗檡f","type":3,"block":5,"hp":76},{"fit":2,"name":"TFTChampion","disname":"vXy榛?713776800Q","type":3,"block":2,"hp":0},{"fit":0,"name":"TFTChampion","disname":"棣欒崏鍐版縺鏋?,"type":3,"block":1,"hp":57},{"fit":3,"name":"TFTChampion","disname":"Monstar涓禖hina","type":3,"block":0,"hp":76},{"fit":1,"name":"TFTChampion","disname":"鐙瓙geigei","type":3,"block":3,"hp":88},{"fit":2,"name":"TFTChampion","disname":"0绮夎壊澶曢槼0","type":3,"block":6,"hp":57},{"name":"TFT5_Nautilus","disname":"U2000633_TFT5_Nautilus_2","type":5,"block":0,"hp":1350},{"name":"TFT5_Kled","disname":"U2000264_TFT5_Kled_1","type":5,"block":3,"hp":720},{"name":"TFT5_LeeSin","disname":"U2000769_TFT5_LeeSin_1","type":5,"block":0,"hp":1530},{"name":"TFT5_Udyr","disname":"U2000160_TFT5_Udyr_1","type":5,"block":5,"hp":1260},{"name":"TFT5_Kalista","disname":"U2000430_TFT5_Kalista_1","type":5,"block":5,"hp":500},{"name":"TFT5_Kalista","disname":"U2000433_TFT5_Kalista_1","type":5,"block":5,"hp":500},{"name":"TFT5_Velkoz","disname":"U2001003_TFT5_Velkoz_2","type":5,"block":8,"hp":700},{"name":"TFT5_Kled","disname":"U2000260_TFT5_Kled_1","type":5,"block":3,"hp":400},{"name":"TFT5_Jax","disname":"U2000959_TFT5_Jax_1","type":5,"block":8,"hp":1000},{"name":"TFT5_Kennen","disname":"U2000607_TFT5_Kennen_1","type":5,"block":0,"hp":600},{"name":"TFT5_Kled","disname":"U2000256_TFT5_Kled_1","type":5,"block":3,"hp":400},{"name":"TFT5_Rakan","disname":"U2000815_TFT5_Rakan_1","type":5,"block":8,"hp":800},{"name":"TFT5_Ashe","disname":"U2000831_TFT5_Ashe_1","type":5,"block":5,"hp":550},{"name":"TFT5_Syndra","disname":"U2000502_TFT5_Syndra_1","type":5,"block":8,"hp":600},{"name":"TFT5_Sett","disname":"U2000685_TFT5_Sett_1","type":5,"block":5,"hp":750},{"name":"TFT5_Udyr","disname":"U2000175_TFT5_Udyr_1","type":5,"block":5,"hp":700},{"name":"TFT5_Udyr","disname":"U2000186_TFT5_Udyr_1","type":5,"block":5,"hp":700},{"name":"TFT5_Riven","disname":"U2000750_TFT5_Riven_8","type":5,"block":8,"hp":850},{"name":"TFT5_Vladimir","disname":"U2000201_TFT5_Vladimir_9","type":5,"block":6,"hp":650},{"name":"TFT5_Sejuani","disname":"U2000583_TFT5_Sejuani_2","type":5,"block":6,"hp":750},{"name":"TFT5_Zyra","disname":"U2000863_TFT5_Zyra_1","type":5,"block":5,"hp":600},{"name":"TFT5_Irelia","disname":"U2000705_TFT5_Irelia_1","type":5,"block":0,"hp":750},{"name":"TFT5_Nocturne","disname":"U2000938_TFT5_Nocturne_1","type":5,"block":5,"hp":650},{"name":"TFT5_EmblemArmoryKey","disname":"U2001473_TFT5_EmblemArmoryKey_1","type":5,"block":6,"hp":10},{"name":"TFT5_Aatrox","disname":"U2000097_TFT5_Aatrox_24","type":5,"block":8,"hp":1170},{"name":"TFT5_Leona","disname":"U2000138_TFT5_Leona_15","type":5,"block":8,"hp":700},{"name":"TFT5_Syndra","disname":"U2000512_TFT5_Syndra_11","type":5,"block":8,"hp":600},{"name":"TFT5_Lux","disname":"U2000793_TFT5_Lux_12","type":5,"block":8,"hp":1080},{"name":"TFT5_Rakan","disname":"U2000810_TFT5_Rakan_13","type":5,"block":8,"hp":1440},{"name":"TFT5_Rell","disname":"U2000996_TFT5_Rell_3","type":5,"block":8,"hp":950},{"name":"TFT5_Velkoz","disname":"U2001014_TFT5_Velkoz_9","type":5,"block":8,"hp":700},{"name":"TFT5_Udyr","disname":"U2000182_TFT5_Udyr_19","type":5,"block":5,"hp":1260},{"name":"TFT5_Kalista","disname":"U2000434_TFT5_Kalista_15","type":5,"block":5,"hp":900},{"name":"TFT5_Brand","disname":"U2000531_TFT5_Brand_5","type":5,"block":5,"hp":600},{"name":"TFT5_Sett","disname":"U2000676_TFT5_Sett_13","type":5,"block":5,"hp":1750},{"name":"TFT5_Ashe","disname":"U2000828_TFT5_Ashe_13","type":5,"block":5,"hp":550},{"name":"TFT5_Zyra","disname":"U2000849_TFT5_Zyra_19","type":5,"block":5,"hp":1080},{"name":"TFT5_Nunu","disname":"U2000865_TFT5_Nunu_7","type":5,"block":5,"hp":1300},{"name":"TFT5_Nocturne","disname":"U2000949_TFT5_Nocturne_3","type":5,"block":5,"hp":650},{"name":"TFT5_Senna","disname":"U2000372_TFT5_Senna_17","type":5,"block":1,"hp":900},{"name":"TFT5_Varus","disname":"U2000460_TFT5_Varus_22","type":5,"block":1,"hp":1080},{"name":"TFT5_Sejuani","disname":"U2000586_TFT5_Sejuani_19","type":5,"block":1,"hp":750},{"name":"TFT5_Nautilus","disname":"U2000638_TFT5_Nautilus_11","type":5,"block":1,"hp":1350},{"name":"TFT5_MissFortune","disname":"U2000920_TFT5_MissFortune_2","type":5,"block":1,"hp":700},{"name":"TFT5_Lucian","disname":"U2000979_TFT5_Lucian_7","type":5,"block":1,"hp":800},{"name":"TFT5_Udyr","disname":"U2000176_TFT5_Udyr_10","type":5,"block":0,"hp":1260},{"name":"TFT5_Poppy","disname":"U2000277_TFT5_Poppy_20","type":5,"block":0,"hp":1380},{"name":"TFT5_Olaf","disname":"U2000398_TFT5_Olaf_19","type":5,"block":0,"hp":1170},{"name":"TFT5_Kennen","disname":"U2000623_TFT5_Kennen_15","type":5,"block":0,"hp":1080},{"name":"TFT5_Irelia","disname":"U2000701_TFT5_Irelia_6","type":5,"block":0,"hp":1350},{"name":"TFT5_LeeSin","disname":"U2000763_TFT5_LeeSin_2","type":5,"block":0,"hp":1530},{"name":"TFT5_Nidalee","disname":"U2000894_TFT5_Nidalee_9","type":5,"block":0,"hp":1440},{"name":"TFT5_Kled","disname":"U2000273_TFT5_Kled_14","type":5,"block":3,"hp":720},{"name":"TFT5_Senna","disname":"U2000389_TFT5_Senna_12","type":5,"block":3,"hp":1620},{"name":"TFT5_Tristana","disname":"U2000727_TFT5_Tristana_19","type":5,"block":3,"hp":550},{"name":"TFT5_Riven","disname":"U2000738_TFT5_Riven_17","type":5,"block":3,"hp":850},{"name":"TFT5_MissFortune","disname":"U2000926_TFT5_MissFortune_3","type":5,"block":3,"hp":1260},{"name":"TFT5_Vladimir","disname":"U2000200_TFT5_Vladimir_2","type":5,"block":6,"hp":650},{"name":"TFT5_Vladimir","disname":"U2000215_TFT5_Vladimir_18","type":5,"block":6,"hp":1320},{"name":"TFT5_Sejuani","disname":"U2000604_TFT5_Sejuani_7","type":5,"block":6,"hp":900},{"name":"TFT5_Kennen","disname":"U2000614_TFT5_Kennen_4","type":5,"block":6,"hp":600},{"name":"TFT5_Lulu","disname":"U2000788_TFT5_Lulu_8","type":5,"block":6,"hp":650},{"name":"TFT5_Zyra","disname":"U2000861_TFT5_Zyra_2","type":5,"block":6,"hp":600},{"name":"TFT5_Yasuo","disname":"U2000908_TFT5_Yasuo_2","type":5,"block":6,"hp":800},{"name":"TFT5_DraconicEgg","disname":"U2001482_TFT5_DraconicEgg_1","type":5,"block":5,"hp":1}]}</t>
  </si>
  <si>
    <t>{"success":true,"code":200,"msg":"鎴愬姛","data":["TFT5_Lulu","TFT5_Draven","TFT5_Riven","TFT5_Lulu","TFT5_Kalista"]}</t>
  </si>
  <si>
    <t>mismatch</t>
  </si>
  <si>
    <t>{"success":true,"code":200,"msg":"鎴愬姛","data":["Sold","TFT5_Zyra","Sold","TFT5_Draven","TFT5_Thresh"]}</t>
  </si>
  <si>
    <t>{"success":true,"code":200,"msg":"鎴愬姛","data":[{"isme":true,"zt":5,"fit":0,"name":"TFTChampion","disname":"AlphaChess","type":3,"block":8,"hp":88},{"fit":2,"name":"TFTChampion","disname":"bTL绾?9l075z686Q","type":3,"block":7,"hp":0},{"fit":3,"name":"TFTChampion","disname":"涓朵付澶х孩鐗檡f","type":3,"block":5,"hp":71},{"fit":2,"name":"TFTChampion","disname":"vXy榛?713776800Q","type":3,"block":2,"hp":0},{"fit":0,"name":"TFTChampion","disname":"棣欒崏鍐版縺鏋?,"type":3,"block":1,"hp":24},{"fit":4,"name":"TFTChampion","disname":"Monstar涓禖hina","type":3,"block":0,"hp":71},{"fit":2,"name":"TFTChampion","disname":"鐙瓙geigei","type":3,"block":3,"hp":0},{"fit":3,"name":"TFTChampion","disname":"0绮夎壊澶曢槼0","type":3,"block":6,"hp":0},{"name":"TFT5_Nautilus","disname":"U2000633_TFT5_Nautilus_2","type":5,"block":0,"hp":1350},{"name":"TFT5_LeeSin","disname":"U2000769_TFT5_LeeSin_1","type":5,"block":0,"hp":1530},{"name":"TFT5_Kennen","disname":"U2000607_TFT5_Kennen_1","type":5,"block":0,"hp":600},{"name":"TFT5_Zyra","disname":"U2000863_TFT5_Zyra_1","type":5,"block":5,"hp":600},{"name":"TFT5_Irelia","disname":"U2000705_TFT5_Irelia_1","type":5,"block":0,"hp":750},{"name":"TFT5_Heimerdinger","disname":"U2001114_TFT5_Heimerdinger_1","type":5,"block":5,"hp":800},{"name":"TFT5_Sejuani","disname":"U2000599_TFT5_Sejuani_1","type":5,"block":1,"hp":750},{"name":"TFT5_Nidalee","disname":"U2000898_TFT5_Nidalee_4","type":5,"block":0,"hp":800},{"name":"TFT5_DraconicEgg","disname":"U2001536_TFT5_DraconicEgg_1","type":5,"block":5,"hp":4},{"name":"TFT5_Yasuo","disname":"U2000914_TFT5_Yasuo_3","type":5,"block":8,"hp":800},{"name":"TFT5_DraconicEgg","disname":"U2001548_TFT5_DraconicEgg_1","type":5,"block":5,"hp":2},{"name":"TFT5_Sett","disname":"U2000684_TFT5_Sett_2","type":5,"block":5,"hp":750},{"name":"TFT5_Aatrox","disname":"U2000097_TFT5_Aatrox_30","type":5,"block":8,"hp":1170},{"name":"TFT5_Leona","disname":"U2000138_TFT5_Leona_21","type":5,"block":8,"hp":700},{"name":"TFT5_Syndra","disname":"U2000512_TFT5_Syndra_17","type":5,"block":8,"hp":1080},{"name":"TFT5_Lux","disname":"U2000793_TFT5_Lux_18","type":5,"block":8,"hp":1080},{"name":"TFT5_Rakan","disname":"U2000810_TFT5_Rakan_19","type":5,"block":8,"hp":1440},{"name":"TFT5_Rell","disname":"U2000996_TFT5_Rell_9","type":5,"block":8,"hp":1100},{"name":"TFT5_Velkoz","disname":"U2001014_TFT5_Velkoz_15","type":5,"block":8,"hp":1260},{"name":"TFT5_Diana","disname":"U2001020_TFT5_Diana_4","type":5,"block":8,"hp":750},{"name":"TFT5_Udyr","disname":"U2000182_TFT5_Udyr_25","type":5,"block":5,"hp":2268},{"name":"TFT5_Sett","disname":"U2000676_TFT5_Sett_19","type":5,"block":5,"hp":1350},{"name":"TFT5_Ashe","disname":"U2000828_TFT5_Ashe_19","type":5,"block":5,"hp":990},{"name":"TFT5_Zyra","disname":"U2000849_TFT5_Zyra_25","type":5,"block":5,"hp":1080},{"name":"TFT5_Nocturne","disname":"U2000949_TFT5_Nocturne_9","type":5,"block":5,"hp":1170},{"name":"TFT5_Ivern","disname":"U2001044_TFT5_Ivern_3","type":5,"block":5,"hp":1710},{"name":"TFT5_Viego","disname":"U2001093_TFT5_Viego_2","type":5,"block":5,"hp":1000},{"name":"TFT5_Heimerdinger","disname":"U2001108_TFT5_Heimerdinger_5","type":5,"block":5,"hp":800},{"name":"TFT5_HeimerTurret","disname":"U2001509_TFT5_HeimerTurret_5","type":5,"block":5,"hp":1000},{"name":"TFT5_Senna","disname":"U2000372_TFT5_Senna_23","type":5,"block":1,"hp":900},{"name":"TFT5_Sejuani","disname":"U2000586_TFT5_Sejuani_25","type":5,"block":1,"hp":750},{"name":"TFT5_Nautilus","disname":"U2000638_TFT5_Nautilus_17","type":5,"block":1,"hp":1350},{"name":"TFT5_MissFortune","disname":"U2000920_TFT5_MissFortune_8","type":5,"block":1,"hp":700},{"name":"TFT5_Lucian","disname":"U2000979_TFT5_Lucian_13","type":5,"block":1,"hp":800},{"name":"TFT5_Fiddlesticks","disname":"U2001064_TFT5_Fiddlesticks_5","type":5,"block":1,"hp":800},{"name":"TFT5_Teemo","disname":"U2001098_TFT5_Teemo_4","type":5,"block":1,"hp":800},{"name":"TFT5_Udyr","disname":"U2000176_TFT5_Udyr_17","type":5,"block":0,"hp":1260},{"name":"TFT5_Olaf","disname":"U2000398_TFT5_Olaf_26","type":5,"block":0,"hp":1170},{"name":"TFT5_Kennen","disname":"U2000623_TFT5_Kennen_22","type":5,"block":0,"hp":1080},{"name":"TFT5_Irelia","disname":"U2000701_TFT5_Irelia_13","type":5,"block":0,"hp":1500},{"name":"TFT5_LeeSin","disname":"U2000763_TFT5_LeeSin_9","type":5,"block":0,"hp":1530},{"name":"TFT5_Nidalee","disname":"U2000894_TFT5_Nidalee_16","type":5,"block":0,"hp":1440},{"name":"TFT5_Galio","disname":"U2001035_TFT5_Galio_8","type":5,"block":0,"hp":1150},{"name":"TFT5_Khazix","disname":"U2000220_TFT5_Khazix_1","type":5,"block":8,"hp":500},{"name":"TFT5_DraconicEgg","disname":"U2001580_TFT5_DraconicEgg_1","type":5,"block":5,"hp":2},{"name":"TFT5_Gragas","disname":"U2000322_TFT5_Gragas_1","type":5,"block":8,"hp":750},{"name":"TFT5_Ivern","disname":"U2001039_TFT5_Ivern_1","type":5,"block":5,"hp":950},{"name":"TFT5_Rell","disname":"U2001001_TFT5_Rell_1","type":5,"block":8,"hp":950}]}</t>
  </si>
  <si>
    <t>{"success":true,"code":200,"msg":"鎴愬姛","data":["TFT5_Viego","TFT5_LeeSin","TFT5_Syndra","TFT5_Lucian","TFT5_Poppy"]}</t>
  </si>
  <si>
    <t>{"success":true,"code":200,"msg":"鎴愬姛","data":[{"isme":true,"zt":5,"fit":0,"name":"TFTChampion","disname":"AlphaChess","type":3,"block":8,"hp":88},{"fit":2,"name":"TFTChampion","disname":"bTL绾?9l075z686Q","type":3,"block":7,"hp":0},{"fit":4,"name":"TFTChampion","disname":"涓朵付澶х孩鐗檡f","type":3,"block":5,"hp":52},{"fit":2,"name":"TFTChampion","disname":"vXy榛?713776800Q","type":3,"block":2,"hp":0},{"fit":1,"name":"TFTChampion","disname":"棣欒崏鍐版縺鏋?,"type":3,"block":1,"hp":0},{"fit":5,"name":"TFTChampion","disname":"Monstar涓禖hina","type":3,"block":0,"hp":43},{"fit":2,"name":"TFTChampion","disname":"鐙瓙geigei","type":3,"block":3,"hp":0},{"fit":3,"name":"TFTChampion","disname":"0绮夎壊澶曢槼0","type":3,"block":6,"hp":0},{"name":"TFT5_Nautilus","disname":"U2000633_TFT5_Nautilus_2","type":5,"block":0,"hp":1350},{"name":"TFT5_LeeSin","disname":"U2000769_TFT5_LeeSin_1","type":5,"block":0,"hp":1530},{"name":"TFT5_Kennen","disname":"U2000607_TFT5_Kennen_1","type":5,"block":0,"hp":600},{"name":"TFT5_Irelia","disname":"U2000705_TFT5_Irelia_1","type":5,"block":0,"hp":750},{"name":"TFT5_Heimerdinger","disname":"U2001114_TFT5_Heimerdinger_1","type":5,"block":5,"hp":800},{"name":"TFT5_Nidalee","disname":"U2000898_TFT5_Nidalee_4","type":5,"block":0,"hp":800},{"name":"TFT5_Diana","disname":"U2001020_TFT5_Diana_4","type":5,"block":8,"hp":750},{"name":"TFT5_Velkoz","disname":"U2001012_TFT5_Velkoz_1","type":5,"block":8,"hp":700},{"name":"TFT5_Nocturne","disname":"U2000937_TFT5_Nocturne_1","type":5,"block":5,"hp":1170},{"name":"TFT5_Diana","disname":"U2001022_TFT5_Diana_1","type":5,"block":8,"hp":750},{"name":"TFT5_DraconicEgg","disname":"U2001620_TFT5_DraconicEgg_1","type":5,"block":5,"hp":3},{"name":"TFT5_Irelia","disname":"U2000697_TFT5_Irelia_1","type":5,"block":0,"hp":750},{"name":"TFT5_Galio","disname":"U2001029_TFT5_Galio_1","type":5,"block":0,"hp":1000},{"name":"TFT5_Karma","disname":"U2000968_TFT5_Karma_1","type":5,"block":8,"hp":700},{"name":"TFT5_Leona","disname":"U2000138_TFT5_Leona_25","type":5,"block":8,"hp":700},{"name":"TFT5_Karma","disname":"U2000969_TFT5_Karma_4","type":5,"block":8,"hp":700},{"name":"TFT5_DraconicEgg","disname":"U2001645_TFT5_DraconicEgg_1","type":5,"block":5,"hp":3},{"name":"TFT5_Galio","disname":"U2001031_TFT5_Galio_1","type":5,"block":5,"hp":1000},{"name":"TFT5_Nocturne","disname":"U2000946_TFT5_Nocturne_1","type":5,"block":5,"hp":650},{"name":"TFT5_Aatrox","disname":"U2000097_TFT5_Aatrox_36","type":5,"block":8,"hp":1170},{"name":"TFT5_Syndra","disname":"U2000512_TFT5_Syndra_23","type":5,"block":8,"hp":1080},{"name":"TFT5_Lux","disname":"U2000793_TFT5_Lux_24","type":5,"block":8,"hp":1080},{"name":"TFT5_Rakan","disname":"U2000810_TFT5_Rakan_25","type":5,"block":8,"hp":1440},{"name":"TFT5_Rell","disname":"U2000996_TFT5_Rell_15","type":5,"block":8,"hp":2010},{"name":"TFT5_Velkoz","disname":"U2001014_TFT5_Velkoz_21","type":5,"block":8,"hp":1260},{"name":"TFT5_Fiddlesticks","disname":"U2001068_TFT5_Fiddlesticks_3","type":5,"block":8,"hp":800},{"name":"TFT5_Kayle","disname":"U2001143_TFT5_Kayle_3","type":5,"block":8,"hp":650},{"name":"TFT5_Udyr","disname":"U2000182_TFT5_Udyr_31","type":5,"block":5,"hp":2268},{"name":"TFT5_Sett","disname":"U2000676_TFT5_Sett_25","type":5,"block":5,"hp":1350},{"name":"TFT5_Ashe","disname":"U2000828_TFT5_Ashe_25","type":5,"block":5,"hp":990},{"name":"TFT5_Nocturne","disname":"U2000949_TFT5_Nocturne_15","type":5,"block":5,"hp":1170},{"name":"TFT5_Galio","disname":"U2001027_TFT5_Galio_11","type":5,"block":5,"hp":1150},{"name":"TFT5_Ivern","disname":"U2001044_TFT5_Ivern_9","type":5,"block":5,"hp":1710},{"name":"TFT5_Heimerdinger","disname":"U2001108_TFT5_Heimerdinger_11","type":5,"block":5,"hp":800},{"name":"TFT5_Garen","disname":"U2001134_TFT5_Garen_6","type":5,"block":5,"hp":1050},{"name":"TFT5_HeimerTurret","disname":"U2001509_TFT5_HeimerTurret_11","type":5,"block":5,"hp":1000},{"name":"TFT5_Udyr","disname":"U2000176_TFT5_Udyr_22","type":5,"block":0,"hp":1260},{"name":"TFT5_Olaf","disname":"U2000398_TFT5_Olaf_31","type":5,"block":0,"hp":1170},{"name":"TFT5_Irelia","disname":"U2000701_TFT5_Irelia_18","type":5,"block":0,"hp":1500},{"name":"TFT5_LeeSin","disname":"U2000763_TFT5_LeeSin_14","type":5,"block":0,"hp":1530},{"name":"TFT5_Nidalee","disname":"U2000894_TFT5_Nidalee_21","type":5,"block":0,"hp":1440},{"name":"TFT5_Galio","disname":"U2001035_TFT5_Galio_13","type":5,"block":0,"hp":1150},{"name":"TFT5_Velkoz","disname":"U2001007_TFT5_Velkoz_2","type":5,"block":8,"hp":700},{"name":"TFT5_Garen","disname":"U2001128_TFT5_Garen_2","type":5,"block":5,"hp":1050},{"name":"TFT5_Viego","disname":"U2001088_TFT5_Viego_2","type":5,"block":0,"hp":1000},{"name":"TFT5_DraconicEgg","disname":"U2001667_TFT5_DraconicEgg_1","type":5,"block":5,"hp":2}]}</t>
  </si>
  <si>
    <t>{"success":true,"code":200,"msg":"鎴愬姛","data":["TFT5_Aphelios","TFT5_Yasuo","TFT5_Khazix","TFT5_Nidalee","Sold"]}</t>
  </si>
  <si>
    <t>{"success":true,"code":200,"msg":"鎴愬姛","data":[{"isme":true,"zt":5,"fit":0,"name":"TFTChampion","disname":"AlphaChess","type":3,"block":8,"hp":79},{"fit":2,"name":"TFTChampion","disname":"bTL绾?9l075z686Q","type":3,"block":7,"hp":0},{"fit":5,"name":"TFTChampion","disname":"涓朵付澶х孩鐗檡f","type":3,"block":5,"hp":52},{"fit":2,"name":"TFTChampion","disname":"vXy榛?713776800Q","type":3,"block":2,"hp":0},{"fit":1,"name":"TFTChampion","disname":"棣欒崏鍐版縺鏋?,"type":3,"block":1,"hp":0},{"fit":5,"name":"TFTChampion","disname":"Monstar涓禖hina","type":3,"block":0,"hp":14},{"fit":2,"name":"TFTChampion","disname":"鐙瓙geigei","type":3,"block":3,"hp":0},{"fit":3,"name":"TFTChampion","disname":"0绮夎壊澶曢槼0","type":3,"block":6,"hp":0},{"name":"TFT5_Nautilus","disname":"U2000633_TFT5_Nautilus_2","type":5,"block":0,"hp":1350},{"name":"TFT5_LeeSin","disname":"U2000769_TFT5_LeeSin_1","type":5,"block":0,"hp":1530},{"name":"TFT5_Kennen","disname":"U2000607_TFT5_Kennen_1","type":5,"block":0,"hp":600},{"name":"TFT5_Irelia","disname":"U2000705_TFT5_Irelia_1","type":5,"block":0,"hp":750},{"name":"TFT5_Nidalee","disname":"U2000898_TFT5_Nidalee_4","type":5,"block":0,"hp":800},{"name":"TFT5_Velkoz","disname":"U2001012_TFT5_Velkoz_1","type":5,"block":8,"hp":700},{"name":"TFT5_Nocturne","disname":"U2000937_TFT5_Nocturne_1","type":5,"block":5,"hp":1170},{"name":"TFT5_Irelia","disname":"U2000697_TFT5_Irelia_1","type":5,"block":0,"hp":750},{"name":"TFT5_Karma","disname":"U2000968_TFT5_Karma_1","type":5,"block":8,"hp":700},{"name":"TFT5_Leona","disname":"U2000138_TFT5_Leona_25","type":5,"block":8,"hp":700},{"name":"TFT5_Karma","disname":"U2000969_TFT5_Karma_4","type":5,"block":8,"hp":700},{"name":"TFT5_DraconicEgg","disname":"U2001645_TFT5_DraconicEgg_1","type":5,"block":5,"hp":3},{"name":"TFT5_Galio","disname":"U2001031_TFT5_Galio_1","type":5,"block":5,"hp":1000},{"name":"TFT5_Nocturne","disname":"U2000946_TFT5_Nocturne_1","type":5,"block":5,"hp":650},{"name":"TFT5_Garen","disname":"U2001134_TFT5_Garen_6","type":5,"block":5,"hp":1050},{"name":"TFT5_Velkoz","disname":"U2001007_TFT5_Velkoz_2","type":5,"block":8,"hp":700},{"name":"TFT5_DraconicEgg","disname":"U2001667_TFT5_DraconicEgg_1","type":5,"block":5,"hp":2},{"name":"TFT5_Viego","disname":"U2001090_TFT5_Viego_1","type":5,"block":8,"hp":1000},{"name":"TFT5_DraconicEgg","disname":"U2001739_TFT5_DraconicEgg_1","type":5,"block":5,"hp":1},{"name":"TFT5_Ivern","disname":"U2001043_TFT5_Ivern_2","type":5,"block":8,"hp":950},{"name":"TFT5_Aatrox","disname":"U2000097_TFT5_Aatrox_39","type":5,"block":8,"hp":1170},{"name":"TFT5_Syndra","disname":"U2000512_TFT5_Syndra_26","type":5,"block":8,"hp":1080},{"name":"TFT5_Lux","disname":"U2000793_TFT5_Lux_27","type":5,"block":8,"hp":1080},{"name":"TFT5_Rakan","disname":"U2000810_TFT5_Rakan_28","type":5,"block":8,"hp":1440},{"name":"TFT5_Rell","disname":"U2000996_TFT5_Rell_18","type":5,"block":8,"hp":2010},{"name":"TFT5_Velkoz","disname":"U2001014_TFT5_Velkoz_24","type":5,"block":8,"hp":1260},{"name":"TFT5_Fiddlesticks","disname":"U2001074_TFT5_Fiddlesticks_2","type":5,"block":8,"hp":1440},{"name":"TFT5_Kayle","disname":"U2001143_TFT5_Kayle_6","type":5,"block":8,"hp":650},{"name":"TFT5_Udyr","disname":"U2000182_TFT5_Udyr_34","type":5,"block":5,"hp":2268},{"name":"TFT5_Sett","disname":"U2000676_TFT5_Sett_28","type":5,"block":5,"hp":1350},{"name":"TFT5_Ashe","disname":"U2000828_TFT5_Ashe_28","type":5,"block":5,"hp":990},{"name":"TFT5_Nocturne","disname":"U2000949_TFT5_Nocturne_18","type":5,"block":5,"hp":1170},{"name":"TFT5_Galio","disname":"U2001027_TFT5_Galio_14","type":5,"block":5,"hp":1150},{"name":"TFT5_Ivern","disname":"U2001044_TFT5_Ivern_12","type":5,"block":5,"hp":1710},{"name":"TFT5_Heimerdinger","disname":"U2001108_TFT5_Heimerdinger_14","type":5,"block":5,"hp":1940},{"name":"TFT5_Garen","disname":"U2001128_TFT5_Garen_5","type":5,"block":5,"hp":1200},{"name":"TFT5_HeimerTurret","disname":"U2001509_TFT5_HeimerTurret_14","type":5,"block":5,"hp":1800},{"name":"TFT5_Udyr","disname":"U2000176_TFT5_Udyr_24","type":5,"block":0,"hp":1260},{"name":"TFT5_Olaf","disname":"U2000398_TFT5_Olaf_33","type":5,"block":0,"hp":1170},{"name":"TFT5_Irelia","disname":"U2000701_TFT5_Irelia_20","type":5,"block":0,"hp":1500},{"name":"TFT5_LeeSin","disname":"U2000763_TFT5_LeeSin_16","type":5,"block":0,"hp":1530},{"name":"TFT5_Nidalee","disname":"U2000894_TFT5_Nidalee_23","type":5,"block":0,"hp":1440},{"name":"TFT5_Galio","disname":"U2001035_TFT5_Galio_15","type":5,"block":0,"hp":1950},{"name":"TFT5_Viego","disname":"U2001088_TFT5_Viego_4","type":5,"block":0,"hp":1000},{"name":"TFT5_DraconicEgg","disname":"U2001791_TFT5_DraconicEgg_1","type":5,"block":5,"hp":3},{"name":"TFT5_NPC_Dragon","disname":"U2001794_TFT5_NPC_Dragon_1","type":5,"block":8,"hp":8075},{"name":"TFT5_NPC_Dragon","disname":"U2001796_TFT5_NPC_Dragon_1","type":5,"block":5,"hp":8000},{"name":"TFT5_NPC_Dragon","disname":"U2001799_TFT5_NPC_Dragon_1","type":5,"block":0,"hp":8000},{"name":"TFT5_Gwen","disname":"U2001124_TFT5_Gwen_1","type":5,"block":8,"hp":950},{"name":"TFT5_Jax","disname":"U2000959_TFT5_Jax_2","type":5,"block":0,"hp":1000}]}</t>
  </si>
  <si>
    <t>{"success":true,"code":200,"msg":"鎴愬姛","data":["TFT5_Zyra","TFT5_Khazix","TFT5_Vladimir","TFT5_Garen","TFT5_Rell"]}</t>
  </si>
  <si>
    <t>{"success":true,"code":200,"msg":"鎴愬姛","data":[{"isme":true,"zt":5,"fit":0,"name":"TFTChampion","disname":"AlphaChess","type":3,"block":8,"hp":79},{"fit":2,"name":"TFTChampion","disname":"bTL绾?9l075z686Q","type":3,"block":7,"hp":0},{"fit":5,"name":"TFTChampion","disname":"涓朵付澶х孩鐗檡f","type":3,"block":5,"hp":38},{"fit":2,"name":"TFTChampion","disname":"vXy榛?713776800Q","type":3,"block":2,"hp":0},{"fit":1,"name":"TFTChampion","disname":"棣欒崏鍐版縺鏋?,"type":3,"block":1,"hp":0},{"fit":6,"name":"TFTChampion","disname":"Monstar涓禖hina","type":3,"block":0,"hp":0},{"fit":2,"name":"TFTChampion","disname":"鐙瓙geigei","type":3,"block":3,"hp":0},{"fit":3,"name":"TFTChampion","disname":"0绮夎壊澶曢槼0","type":3,"block":6,"hp":0},{"name":"TFT5_Velkoz","disname":"U2001012_TFT5_Velkoz_1","type":5,"block":8,"hp":700},{"name":"TFT5_Nocturne","disname":"U2000937_TFT5_Nocturne_1","type":5,"block":5,"hp":1170},{"name":"TFT5_Leona","disname":"U2000138_TFT5_Leona_25","type":5,"block":8,"hp":700},{"name":"TFT5_Nocturne","disname":"U2000946_TFT5_Nocturne_1","type":5,"block":5,"hp":650},{"name":"TFT5_Velkoz","disname":"U2001007_TFT5_Velkoz_2","type":5,"block":8,"hp":700},{"name":"TFT5_Viego","disname":"U2001090_TFT5_Viego_1","type":5,"block":8,"hp":1000},{"name":"TFT5_Ivern","disname":"U2001043_TFT5_Ivern_2","type":5,"block":8,"hp":950},{"name":"TFT5_DraconicEgg","disname":"U2001791_TFT5_DraconicEgg_1","type":5,"block":5,"hp":3},{"name":"TFT5_Gwen","disname":"U2001124_TFT5_Gwen_1","type":5,"block":8,"hp":950},{"name":"TFT5_Nocturne","disname":"U2000948_TFT5_Nocturne_1","type":5,"block":5,"hp":650},{"name":"TFT5_Rakan","disname":"U2000810_TFT5_Rakan_29","type":5,"block":8,"hp":1440},{"name":"TestCubeRender","disname":"TestCube","type":5,"block":0,"hp":100},{"name":"TestCubeRender","disname":"TestCube","type":5,"block":0,"hp":100},{"name":"TestCubeRender","disname":"TestCube","type":5,"block":0,"hp":100},{"name":"TestCubeRender","disname":"TestCube","type":5,"block":0,"hp":100},{"name":"TestCubeRender","disname":"TestCube","type":5,"block":0,"hp":100},{"name":"TestCubeRender","disname":"TestCube","type":5,"block":0,"hp":100},{"name":"TFT5_Rell","disname":"U2000997_TFT5_Rell_1","type":5,"block":8,"hp":950},{"name":"TFT5_Aatrox","disname":"U2000097_TFT5_Aatrox_41","type":5,"block":8,"hp":1170},{"name":"TFT5_Syndra","disname":"U2000512_TFT5_Syndra_28","type":5,"block":8,"hp":1080},{"name":"TFT5_Lux","disname":"U2000793_TFT5_Lux_29","type":5,"block":8,"hp":1080},{"name":"TFT5_Karma","disname":"U2000968_TFT5_Karma_2","type":5,"block":8,"hp":1410},{"name":"TFT5_Rell","disname":"U2000996_TFT5_Rell_20","type":5,"block":8,"hp":2010},{"name":"TFT5_Velkoz","disname":"U2001014_TFT5_Velkoz_26","type":5,"block":8,"hp":1260},{"name":"TFT5_Fiddlesticks","disname":"U2001074_TFT5_Fiddlesticks_4","type":5,"block":8,"hp":1440},{"name":"TFT5_Kayle","disname":"U2001143_TFT5_Kayle_8","type":5,"block":8,"hp":650},{"name":"TFT5_Udyr","disname":"U2000182_TFT5_Udyr_36","type":5,"block":5,"hp":2268},{"name":"TFT5_Sett","disname":"U2000676_TFT5_Sett_30","type":5,"block":5,"hp":1350},{"name":"TFT5_Ashe","disname":"U2000828_TFT5_Ashe_30","type":5,"block":5,"hp":990},{"name":"TFT5_Nocturne","disname":"U2000949_TFT5_Nocturne_20","type":5,"block":5,"hp":1170},{"name":"TFT5_Galio","disname":"U2001027_TFT5_Galio_16","type":5,"block":5,"hp":1950},{"name":"TFT5_Ivern","disname":"U2001044_TFT5_Ivern_14","type":5,"block":5,"hp":1710},{"name":"TFT5_Heimerdinger","disname":"U2001108_TFT5_Heimerdinger_16","type":5,"block":5,"hp":1590},{"name":"TFT5_Garen","disname":"U2001128_TFT5_Garen_7","type":5,"block":5,"hp":2040},{"name":"TFT5_HeimerTurret","disname":"U2001509_TFT5_HeimerTurret_16","type":5,"block":5,"hp":1800},{"name":"TFT5_DraconicEgg","disname":"U2001876_TFT5_DraconicEgg_1","type":5,"block":5,"hp":2}]}</t>
  </si>
  <si>
    <t>{"success":true,"code":200,"msg":"鎴愬姛","data":["TFT5_Viego","TFT5_Nunu","TFT5_Garen","TFT5_Gragas","TFT5_Lux"]}</t>
  </si>
  <si>
    <t>{"success":true,"code":200,"msg":"鎴愬姛","data":[{"isme":true,"zt":5,"fit":0,"name":"TFTChampion","disname":"AlphaChess","type":3,"block":8,"hp":79},{"fit":2,"name":"TFTChampion","disname":"bTL绾?9l075z686Q","type":3,"block":7,"hp":0},{"fit":6,"name":"TFTChampion","disname":"涓朵付澶х孩鐗檡f","type":3,"block":5,"hp":22},{"fit":2,"name":"TFTChampion","disname":"vXy榛?713776800Q","type":3,"block":2,"hp":0},{"fit":1,"name":"TFTChampion","disname":"棣欒崏鍐版縺鏋?,"type":3,"block":1,"hp":0},{"fit":6,"name":"TFTChampion","disname":"Monstar涓禖hina","type":3,"block":0,"hp":0},{"fit":2,"name":"TFTChampion","disname":"鐙瓙geigei","type":3,"block":3,"hp":0},{"fit":3,"name":"TFTChampion","disname":"0绮夎壊澶曢槼0","type":3,"block":6,"hp":0},{"name":"TFT5_Velkoz","disname":"U2001012_TFT5_Velkoz_1","type":5,"block":8,"hp":700},{"name":"TFT5_Nocturne","disname":"U2000937_TFT5_Nocturne_1","type":5,"block":5,"hp":1170},{"name":"TFT5_Leona","disname":"U2000138_TFT5_Leona_25","type":5,"block":8,"hp":700},{"name":"TFT5_Nocturne","disname":"U2000946_TFT5_Nocturne_1","type":5,"block":5,"hp":650},{"name":"TFT5_Velkoz","disname":"U2001007_TFT5_Velkoz_2","type":5,"block":8,"hp":700},{"name":"TFT5_Viego","disname":"U2001090_TFT5_Viego_1","type":5,"block":8,"hp":1000},{"name":"TFT5_Gwen","disname":"U2001124_TFT5_Gwen_1","type":5,"block":8,"hp":950},{"name":"TFT5_Nocturne","disname":"U2000948_TFT5_Nocturne_1","type":5,"block":5,"hp":650},{"name":"TestCubeRender","disname":"TestCube","type":5,"block":0,"hp":100},{"name":"TestCubeRender","disname":"TestCube","type":5,"block":0,"hp":100},{"name":"TestCubeRender","disname":"TestCube","type":5,"block":0,"hp":100},{"name":"TestCubeRender","disname":"TestCube","type":5,"block":0,"hp":100},{"name":"TestCubeRender","disname":"TestCube","type":5,"block":0,"hp":100},{"name":"TestCubeRender","disname":"TestCube","type":5,"block":0,"hp":100},{"name":"TFT5_Rell","disname":"U2000997_TFT5_Rell_1","type":5,"block":8,"hp":950},{"name":"TFT5_DraconicEgg","disname":"U2001876_TFT5_DraconicEgg_1","type":5,"block":5,"hp":2},{"name":"TFT5_Aatrox","disname":"U2000097_TFT5_Aatrox_42","type":5,"block":8,"hp":1170},{"name":"TFT5_Syndra","disname":"U2000512_TFT5_Syndra_29","type":5,"block":8,"hp":1080},{"name":"TFT5_Lux","disname":"U2000793_TFT5_Lux_30","type":5,"block":8,"hp":1080},{"name":"TFT5_Karma","disname":"U2000968_TFT5_Karma_3","type":5,"block":8,"hp":1410},{"name":"TFT5_Rell","disname":"U2000996_TFT5_Rell_21","type":5,"block":8,"hp":2010},{"name":"TFT5_Velkoz","disname":"U2001014_TFT5_Velkoz_27","type":5,"block":8,"hp":1260},{"name":"TFT5_Ivern","disname":"U2001043_TFT5_Ivern_3","type":5,"block":8,"hp":950},{"name":"TFT5_Fiddlesticks","disname":"U2001074_TFT5_Fiddlesticks_5","type":5,"block":8,"hp":1440},{"name":"TFT5_Kayle","disname":"U2001143_TFT5_Kayle_9","type":5,"block":8,"hp":650},{"name":"TFT5_Udyr","disname":"U2000182_TFT5_Udyr_38","type":5,"block":5,"hp":2268},{"name":"TFT5_Sett","disname":"U2000676_TFT5_Sett_32","type":5,"block":5,"hp":1350},{"name":"TFT5_Ashe","disname":"U2000828_TFT5_Ashe_32","type":5,"block":5,"hp":990},{"name":"TFT5_Nocturne","disname":"U2000949_TFT5_Nocturne_22","type":5,"block":5,"hp":1170},{"name":"TFT5_Galio","disname":"U2001027_TFT5_Galio_18","type":5,"block":5,"hp":1950},{"name":"TFT5_Ivern","disname":"U2001044_TFT5_Ivern_16","type":5,"block":5,"hp":1710},{"name":"TFT5_Heimerdinger","disname":"U2001108_TFT5_Heimerdinger_18","type":5,"block":5,"hp":1440},{"name":"TFT5_Garen","disname":"U2001128_TFT5_Garen_9","type":5,"block":5,"hp":2040},{"name":"TFT5_HeimerTurret","disname":"U2001509_TFT5_HeimerTurret_18","type":5,"block":5,"hp":1800},{"name":"TFT5_DraconicEgg","disname":"U2001901_TFT5_DraconicEgg_1","type":5,"block":5,"hp":3},{"name":"TFT5_Heimerdinger","disname":"U2001109_TFT5_Heimerdinger_1","type":5,"block":5,"hp":800}]}</t>
  </si>
  <si>
    <t>{"success":true,"code":200,"msg":"鎴愬姛","data":["Sold","Sold","Sold","Sold","Sold"]}</t>
  </si>
  <si>
    <t>{"success":true,"code":200,"msg":"鎴愬姛","data":[{"isme":true,"zt":5,"fit":0,"name":"TFTChampion","disname":"AlphaChess","type":3,"block":7,"hp":100},{"fit":0,"name":"TFTChampion","disname":"ep8y897yji","type":3,"block":8,"hp":96},{"fit":0,"name":"TFTChampion","disname":"鐐逛付鐩?,"type":3,"block":5,"hp":96},{"fit":0,"name":"TFTChampion","disname":"鐏缚瀛樺湪","type":3,"block":2,"hp":100},{"fit":0,"name":"TFTChampion","disname":"鎵嬪埌鎿掓潵寮鸿€呮棤鏁?,"type":3,"block":1,"hp":100},{"fit":2,"name":"TFTChampion","disname":"閫変釜鍟ュ悕瀛楀憿","type":3,"block":0,"hp":92},{"fit":0,"name":"TFTChampion","disname":"鍒樺北娌?,"type":3,"block":3,"hp":100},{"fit":0,"name":"TFTChampion","disname":"0绮夎壊澶曢槼0","type":3,"block":6,"hp":96},{"name":"TFT5_Poppy","disname":"U2000286_TFT5_Poppy_1","type":5,"block":7,"hp":1080},{"name":"TFT5_Khazix","disname":"U2000241_TFT5_Khazix_1","type":5,"block":1,"hp":500},{"name":"TFT5_Sejuani","disname":"U2000583_TFT5_Sejuani_1","type":5,"block":6,"hp":750},{"name":"TFT5_Sejuani","disname":"U2000600_TFT5_Sejuani_1","type":5,"block":2,"hp":750},{"name":"TFT5_Vladimir","disname":"U2000191_TFT5_Vladimir_1","type":5,"block":7,"hp":650},{"name":"TFT5_Vladimir","disname":"U2000192_TFT5_Vladimir_1","type":5,"block":6,"hp":650},{"name":"TFT5_Khazix","disname":"U2000218_TFT5_Khazix_7","type":5,"block":7,"hp":500},{"name":"TFT5_Gragas","disname":"U2000315_TFT5_Gragas_5","type":5,"block":7,"hp":1150},{"name":"TFT5_Pyke","disname":"U2000575_TFT5_Pyke_3","type":5,"block":7,"hp":650},{"name":"TFT5_Sejuani","disname":"U2000593_TFT5_Sejuani_3","type":5,"block":7,"hp":1150},{"name":"TFT5_Vayne","disname":"U2000112_TFT5_Vayne_3","type":5,"block":8,"hp":900},{"name":"TFT5_Senna","disname":"U2000386_TFT5_Senna_2","type":5,"block":8,"hp":900},{"name":"TFT5_Senna","disname":"U2000390_TFT5_Senna_3","type":5,"block":5,"hp":900},{"name":"TFT5_Olaf","disname":"U2000420_TFT5_Olaf_3","type":5,"block":5,"hp":650},{"name":"TFT5_Pyke","disname":"U2000581_TFT5_Pyke_3","type":5,"block":5,"hp":650},{"name":"TFT5_Kled","disname":"U2000251_TFT5_Kled_3","type":5,"block":2,"hp":720},{"name":"TFT5_Sejuani","disname":"U2000588_TFT5_Sejuani_3","type":5,"block":2,"hp":750},{"name":"TFT5_Olaf","disname":"U2000410_TFT5_Olaf_4","type":5,"block":1,"hp":1170},{"name":"TFT5_Kalista","disname":"U2000429_TFT5_Kalista_3","type":5,"block":1,"hp":500},{"name":"TFT5_Kalista","disname":"U2000440_TFT5_Kalista_5","type":5,"block":1,"hp":500},{"name":"TFT5_Irelia","disname":"U2000697_TFT5_Irelia_3","type":5,"block":0,"hp":750},{"name":"TFT5_Senna","disname":"U2000380_TFT5_Senna_3","type":5,"block":3,"hp":500},{"name":"TFT5_Olaf","disname":"U2000405_TFT5_Olaf_3","type":5,"block":3,"hp":1320},{"name":"TFT5_Leona","disname":"U2000133_TFT5_Leona_4","type":5,"block":6,"hp":700},{"name":"TFT5_Olaf","disname":"U2000419_TFT5_Olaf_5","type":5,"block":6,"hp":650},{"name":"TFT5_Thresh","disname":"U2000655_TFT5_Thresh_4","type":5,"block":6,"hp":800},{"name":"TFT5_Pyke","disname":"U2000579_TFT5_Pyke_1","type":5,"block":5,"hp":650},{"name":"TFT5_Nautilus","disname":"U2000638_TFT5_Nautilus_1","type":5,"block":2,"hp":750},{"name":"TFT5_Senna","disname":"U2000383_TFT5_Senna_1","type":5,"block":8,"hp":500},{"name":"TFT5_Khazix","disname":"U2000227_TFT5_Khazix_3","type":5,"block":1,"hp":500},{"name":"TFT5_Nautilus","disname":"U2000630_TFT5_Nautilus_1","type":5,"block":3,"hp":750},{"name":"TFT5_Brand","disname":"U2000521_TFT5_Brand_1","type":5,"block":8,"hp":600},{"name":"TFT5_Olaf","disname":"U2000414_TFT5_Olaf_1","type":5,"block":5,"hp":650},{"name":"TFT5_Senna","disname":"U2000381_TFT5_Senna_1","type":5,"block":5,"hp":500}]}</t>
  </si>
  <si>
    <t>为什么不选螳螂派克酒桶泰坦6羁绊</t>
  </si>
  <si>
    <t>{"success":true,"code":200,"msg":"鎴愬姛","data":["Sold","TFT5_Zyra","TFT5_Tristana","TFT5_Zyra","TFT5_LeeSin"]}</t>
  </si>
  <si>
    <t>{"success":true,"code":200,"msg":"鎴愬姛","data":[{"isme":true,"zt":5,"fit":0,"name":"TFTChampion","disname":"AlphaChess","type":3,"block":7,"hp":82},{"fit":1,"name":"TFTChampion","disname":"ep8y897yji","type":3,"block":8,"hp":64},{"fit":3,"name":"TFTChampion","disname":"鐐逛付鐩?,"type":3,"block":5,"hp":74},{"fit":1,"name":"TFTChampion","disname":"鐏缚瀛樺湪","type":3,"block":2,"hp":78},{"fit":0,"name":"TFTChampion","disname":"鎵嬪埌鎿掓潵寮鸿€呮棤鏁?,"type":3,"block":1,"hp":78},{"fit":3,"name":"TFTChampion","disname":"閫変釜鍟ュ悕瀛楀憿","type":3,"block":0,"hp":18},{"fit":1,"name":"TFTChampion","disname":"鍒樺北娌?,"type":3,"block":3,"hp":98},{"fit":1,"name":"TFTChampion","disname":"0绮夎壊澶曢槼0","type":3,"block":6,"hp":44},{"name":"TFT5_Pyke","disname":"U2000579_TFT5_Pyke_1","type":5,"block":5,"hp":650},{"name":"TFT5_Gragas","disname":"U2000315_TFT5_Gragas_8","type":5,"block":7,"hp":750},{"name":"TFT5_Senna","disname":"U2000381_TFT5_Senna_2","type":5,"block":5,"hp":900},{"name":"TFT5_Olaf","disname":"U2000416_TFT5_Olaf_1","type":5,"block":3,"hp":650},{"name":"TFT5_Gragas","disname":"U2000312_TFT5_Gragas_2","type":5,"block":7,"hp":750},{"name":"TFT5_Vayne","disname":"U2000121_TFT5_Vayne_1","type":5,"block":8,"hp":500},{"name":"TFT5_Hecarim","disname":"U2000554_TFT5_Hecarim_1","type":5,"block":8,"hp":750},{"name":"TFT5_Senna","disname":"U2000387_TFT5_Senna_5","type":5,"block":8,"hp":500},{"name":"TFT5_Nautilus","disname":"U2000645_TFT5_Nautilus_2","type":5,"block":2,"hp":750},{"name":"TFT5_Olaf","disname":"U2000399_TFT5_Olaf_1","type":5,"block":5,"hp":1170},{"name":"TFT5_Brand","disname":"U2000533_TFT5_Brand_1","type":5,"block":8,"hp":600},{"name":"TFT5_Senna","disname":"U2000386_TFT5_Senna_10","type":5,"block":8,"hp":900},{"name":"TFT5_Khazix","disname":"U2000241_TFT5_Khazix_11","type":5,"block":1,"hp":500},{"name":"TFT5_Senna","disname":"U2000384_TFT5_Senna_1","type":5,"block":5,"hp":500},{"name":"TFT5_Vayne","disname":"U2000116_TFT5_Vayne_1","type":5,"block":8,"hp":500},{"name":"TFT5_Olaf","disname":"U2000409_TFT5_Olaf_1","type":5,"block":3,"hp":650},{"name":"TFT5_MissFortune","disname":"U2000930_TFT5_MissFortune_1","type":5,"block":7,"hp":700},{"name":"TFT5_Senna","disname":"U2000379_TFT5_Senna_1","type":5,"block":3,"hp":500},{"name":"TFT5_Aatrox","disname":"U2000095_TFT5_Aatrox_1","type":5,"block":2,"hp":1170},{"name":"TFT5_Thresh","disname":"U2000666_TFT5_Thresh_8","type":5,"block":7,"hp":800},{"name":"TFT5_MissFortune","disname":"U2000921_TFT5_MissFortune_8","type":5,"block":7,"hp":700},{"name":"TFT5_Rakan","disname":"U2000826_TFT5_Rakan_1","type":5,"block":5,"hp":800},{"name":"TFT5_Thresh","disname":"U2000663_TFT5_Thresh_1","type":5,"block":8,"hp":800},{"name":"TFT5_Senna","disname":"U2000363_TFT5_Senna_6","type":5,"block":8,"hp":500},{"name":"TFT5_Tristana","disname":"U2000733_TFT5_Tristana_1","type":5,"block":3,"hp":550},{"name":"TFT5_Khazix","disname":"U2000243_TFT5_Khazix_8","type":5,"block":7,"hp":900},{"name":"TFT5_Poppy","disname":"U2000286_TFT5_Poppy_13","type":5,"block":7,"hp":1080},{"name":"TFT5_Soraka","disname":"U2000493_TFT5_Soraka_3","type":5,"block":7,"hp":550},{"name":"TFT5_Riven","disname":"U2000754_TFT5_Riven_6","type":5,"block":7,"hp":850},{"name":"TFT5_Ivern","disname":"U2001039_TFT5_Ivern_4","type":5,"block":7,"hp":950},{"name":"TFT5_Fiddlesticks","disname":"U2001071_TFT5_Fiddlesticks_9","type":5,"block":7,"hp":800},{"name":"TFT5_Vayne","disname":"U2000112_TFT5_Vayne_17","type":5,"block":8,"hp":900},{"name":"TFT5_Senna","disname":"U2000383_TFT5_Senna_15","type":5,"block":8,"hp":900},{"name":"TFT5_Varus","disname":"U2000469_TFT5_Varus_7","type":5,"block":8,"hp":600},{"name":"TFT5_Brand","disname":"U2000521_TFT5_Brand_15","type":5,"block":8,"hp":1080},{"name":"TFT5_Thresh","disname":"U2000668_TFT5_Thresh_8","type":5,"block":8,"hp":800},{"name":"TFT5_Lucian","disname":"U2000979_TFT5_Lucian_4","type":5,"block":8,"hp":950},{"name":"TFT5_Senna","disname":"U2000390_TFT5_Senna_15","type":5,"block":5,"hp":900},{"name":"TFT5_Olaf","disname":"U2000420_TFT5_Olaf_15","type":5,"block":5,"hp":1170},{"name":"TFT5_Pyke","disname":"U2000581_TFT5_Pyke_15","type":5,"block":5,"hp":650},{"name":"TFT5_Irelia","disname":"U2000705_TFT5_Irelia_5","type":5,"block":5,"hp":1500},{"name":"TFT5_Rakan","disname":"U2000810_TFT5_Rakan_11","type":5,"block":5,"hp":800},{"name":"TFT5_Leona","disname":"U2000148_TFT5_Leona_8","type":5,"block":2,"hp":850},{"name":"TFT5_Varus","disname":"U2000468_TFT5_Varus_9","type":5,"block":2,"hp":1080},{"name":"TFT5_Syndra","disname":"U2000495_TFT5_Syndra_9","type":5,"block":2,"hp":600},{"name":"TFT5_Nautilus","disname":"U2000638_TFT5_Nautilus_13","type":5,"block":2,"hp":1350},{"name":"TFT5_Lux","disname":"U2000799_TFT5_Lux_5","type":5,"block":2,"hp":1080},{"name":"TFT5_Khazix","disname":"U2000227_TFT5_Khazix_16","type":5,"block":1,"hp":500},{"name":"TFT5_Olaf","disname":"U2000410_TFT5_Olaf_19","type":5,"block":1,"hp":1170},{"name":"TFT5_Kalista","disname":"U2000440_TFT5_Kalista_20","type":5,"block":1,"hp":900},{"name":"TFT5_Nocturne","disname":"U2000947_TFT5_Nocturne_6","type":5,"block":1,"hp":650},{"name":"TFT5_Ivern","disname":"U2001048_TFT5_Ivern_8","type":5,"block":1,"hp":950},{"name":"TFT5_Aphelios","disname":"U2001051_TFT5_Aphelios_4","type":5,"block":1,"hp":650},{"name":"TFT5_Vladimir","disname":"U2000196_TFT5_Vladimir_10","type":5,"block":0,"hp":1170},{"name":"TFT5_Sejuani","disname":"U2000592_TFT5_Sejuani_5","type":5,"block":0,"hp":750},{"name":"TFT5_Irelia","disname":"U2000696_TFT5_Irelia_8","type":5,"block":0,"hp":1350},{"name":"TFT5_LeeSin","disname":"U2000756_TFT5_LeeSin_3","type":5,"block":0,"hp":850},{"name":"TFT5_Senna","disname":"U2000380_TFT5_Senna_13","type":5,"block":3,"hp":900},{"name":"TFT5_Olaf","disname":"U2000405_TFT5_Olaf_13","type":5,"block":3,"hp":2170},{"name":"TFT5_Irelia","disname":"U2000693_TFT5_Irelia_9","type":5,"block":3,"hp":1350},{"name":"TFT5_LeeSin","disname":"U2000771_TFT5_LeeSin_9","type":5,"block":3,"hp":850},{"name":"TFT5_Rakan","disname":"U2000824_TFT5_Rakan_4","type":5,"block":3,"hp":800},{"name":"TFT5_Leona","disname":"U2000133_TFT5_Leona_18","type":5,"block":6,"hp":700},{"name":"TFT5_Leona","disname":"U2000151_TFT5_Leona_4","type":5,"block":6,"hp":700},{"name":"TFT5_Poppy","disname":"U2000300_TFT5_Poppy_6","type":5,"block":6,"hp":1230},{"name":"TFT5_Nautilus","disname":"U2000647_TFT5_Nautilus_12","type":5,"block":6,"hp":750},{"name":"TFT5_Thresh","disname":"U2000655_TFT5_Thresh_18","type":5,"block":6,"hp":800},{"name":"TFT5_Thresh","disname":"U2000661_TFT5_Thresh_6","type":5,"block":6,"hp":800}]}</t>
  </si>
  <si>
    <t>选光明样本</t>
  </si>
  <si>
    <t>{"success":true,"code":200,"msg":"鎴愬姛","data":["Sold","TFT5_LeeSin","TFT5_Pyke","TFT5_Zyra","Sold"]}</t>
  </si>
  <si>
    <t>{"success":true,"code":200,"msg":"鎴愬姛","data":[{"isme":true,"zt":5,"fit":0,"name":"TFTChampion","disname":"AlphaChess","type":3,"block":7,"hp":36},{"fit":3,"name":"TFTChampion","disname":"ep8y897yji","type":3,"block":8,"hp":40},{"fit":4,"name":"TFTChampion","disname":"鐐逛付鐩?,"type":3,"block":5,"hp":3},{"fit":3,"name":"TFTChampion","disname":"鐏缚瀛樺湪","type":3,"block":2,"hp":17},{"fit":1,"name":"TFTChampion","disname":"鎵嬪埌鎿掓潵寮鸿€呮棤鏁?,"type":3,"block":1,"hp":78},{"fit":3,"name":"TFTChampion","disname":"閫変釜鍟ュ悕瀛楀憿","type":3,"block":0,"hp":0},{"fit":2,"name":"TFTChampion","disname":"鍒樺北娌?,"type":3,"block":3,"hp":39},{"fit":2,"name":"TFTChampion","disname":"0绮夎壊澶曢槼0","type":3,"block":6,"hp":0},{"name":"TFT5_Senna","disname":"U2000387_TFT5_Senna_5","type":5,"block":8,"hp":500},{"name":"TFT5_Olaf","disname":"U2000399_TFT5_Olaf_1","type":5,"block":5,"hp":1170},{"name":"TFT5_Senna","disname":"U2000386_TFT5_Senna_10","type":5,"block":8,"hp":900},{"name":"TFT5_Senna","disname":"U2000363_TFT5_Senna_6","type":5,"block":8,"hp":500},{"name":"TFT5_Nocturne","disname":"U2000936_TFT5_Nocturne_1","type":5,"block":1,"hp":650},{"name":"TFT5_Varus","disname":"U2000461_TFT5_Varus_1","type":5,"block":2,"hp":600},{"name":"TFT5_Senna","disname":"U2000373_TFT5_Senna_1","type":5,"block":3,"hp":500},{"name":"TFT5_Irelia","disname":"U2000710_TFT5_Irelia_1","type":5,"block":3,"hp":750},{"name":"TFT5_Khazix","disname":"U2000227_TFT5_Khazix_22","type":5,"block":1,"hp":500},{"name":"TFT5_Senna","disname":"U2000379_TFT5_Senna_3","type":5,"block":3,"hp":500},{"name":"TFT5_Varus","disname":"U2000463_TFT5_Varus_1","type":5,"block":2,"hp":600},{"name":"TFT5_Olaf","disname":"U2000402_TFT5_Olaf_1","type":5,"block":3,"hp":1170},{"name":"TFT5_Olaf","disname":"U2000415_TFT5_Olaf_1","type":5,"block":5,"hp":650},{"name":"TFT5_Irelia","disname":"U2000697_TFT5_Irelia_14","type":5,"block":3,"hp":750},{"name":"TFT5_Irelia","disname":"U2000699_TFT5_Irelia_1","type":5,"block":5,"hp":1350},{"name":"TFT5_Ivern","disname":"U2001050_TFT5_Ivern_1","type":5,"block":3,"hp":950},{"name":"TFT5_Galio","disname":"U2001038_TFT5_Galio_1","type":5,"block":7,"hp":1000},{"name":"TFT5_Kayle","disname":"U2001143_TFT5_Kayle_1","type":5,"block":3,"hp":650},{"name":"TFT5_Lucian","disname":"U2000990_TFT5_Lucian_1","type":5,"block":7,"hp":1440},{"name":"TFT5_Jax","disname":"U2000957_TFT5_Jax_1","type":5,"block":1,"hp":1000},{"name":"TFT5_Pyke","disname":"U2000565_TFT5_Pyke_1","type":5,"block":5,"hp":1170},{"name":"TFT5_Galio","disname":"U2001033_TFT5_Galio_2","type":5,"block":8,"hp":1000},{"name":"TFT5_Lux","disname":"U2000802_TFT5_Lux_1","type":5,"block":2,"hp":600},{"name":"TFT5_Rakan","disname":"U2000827_TFT5_Rakan_1","type":5,"block":5,"hp":1440},{"name":"TFT5_Lux","disname":"U2000797_TFT5_Lux_1","type":5,"block":2,"hp":600},{"name":"TFT5_Galio","disname":"U2001029_TFT5_Galio_1","type":5,"block":5,"hp":1000},{"name":"TFT5_Olaf","disname":"U2000419_TFT5_Olaf_9","type":5,"block":5,"hp":650},{"name":"TFT5_Syndra","disname":"U2000511_TFT5_Syndra_1","type":5,"block":2,"hp":1080},{"name":"TFT5_Galio","disname":"U2001036_TFT5_Galio_1","type":5,"block":8,"hp":1000},{"name":"TFT5_Irelia","disname":"U2000711_TFT5_Irelia_2","type":5,"block":5,"hp":750},{"name":"TFT5_Teemo","disname":"U2001107_TFT5_Teemo_1","type":5,"block":3,"hp":800},{"name":"TFT5_Sett","disname":"U2000676_TFT5_Sett_6","type":5,"block":7,"hp":1150},{"name":"TFT5_Ashe","disname":"U2000835_TFT5_Ashe_10","type":5,"block":7,"hp":990},{"name":"TFT5_Galio","disname":"U2001037_TFT5_Galio_13","type":5,"block":7,"hp":1000},{"name":"TFT5_Ivern","disname":"U2001039_TFT5_Ivern_18","type":5,"block":7,"hp":2710},{"name":"TFT5_Aphelios","disname":"U2001054_TFT5_Aphelios_11","type":5,"block":7,"hp":650},{"name":"TFT5_Fiddlesticks","disname":"U2001071_TFT5_Fiddlesticks_23","type":5,"block":7,"hp":1440},{"name":"TFT5_Teemo","disname":"U2001098_TFT5_Teemo_4","type":5,"block":7,"hp":800},{"name":"TFT5_Volibear","disname":"U2001158_TFT5_Volibear_9","type":5,"block":7,"hp":2650},{"name":"TFT5_Vayne","disname":"U2000108_TFT5_Vayne_3","type":5,"block":8,"hp":500},{"name":"TFT5_Senna","disname":"U2000383_TFT5_Senna_26","type":5,"block":8,"hp":1050},{"name":"TFT5_Varus","disname":"U2000469_TFT5_Varus_19","type":5,"block":8,"hp":1080},{"name":"TFT5_Ashe","disname":"U2000836_TFT5_Ashe_10","type":5,"block":8,"hp":990},{"name":"TFT5_Lucian","disname":"U2000979_TFT5_Lucian_16","type":5,"block":8,"hp":1590},{"name":"TFT5_Aphelios","disname":"U2001059_TFT5_Aphelios_4","type":5,"block":8,"hp":650},{"name":"TFT5_Akshan","disname":"U2001148_TFT5_Akshan_8","type":5,"block":8,"hp":850},{"name":"TFT5_Khazix","disname":"U2000225_TFT5_Khazix_9","type":5,"block":5,"hp":900},{"name":"TFT5_Senna","disname":"U2000390_TFT5_Senna_29","type":5,"block":5,"hp":1620},{"name":"TFT5_Olaf","disname":"U2000420_TFT5_Olaf_29","type":5,"block":5,"hp":1170},{"name":"TFT5_Pyke","disname":"U2000581_TFT5_Pyke_29","type":5,"block":5,"hp":1170},{"name":"TFT5_Irelia","disname":"U2000705_TFT5_Irelia_19","type":5,"block":5,"hp":1650},{"name":"TFT5_Rakan","disname":"U2000826_TFT5_Rakan_6","type":5,"block":5,"hp":1440},{"name":"TFT5_Galio","disname":"U2001030_TFT5_Galio_2","type":5,"block":5,"hp":1000},{"name":"TFT5_Aatrox","disname":"U2000095_TFT5_Aatrox_8","type":5,"block":2,"hp":1170},{"name":"TFT5_Leona","disname":"U2000148_TFT5_Leona_23","type":5,"block":2,"hp":1410},{"name":"TFT5_Varus","disname":"U2000468_TFT5_Varus_24","type":5,"block":2,"hp":1080},{"name":"TFT5_Syndra","disname":"U2000495_TFT5_Syndra_24","type":5,"block":2,"hp":1080},{"name":"TFT5_Nautilus","disname":"U2000638_TFT5_Nautilus_28","type":5,"block":2,"hp":2580},{"name":"TFT5_Lux","disname":"U2000799_TFT5_Lux_20","type":5,"block":2,"hp":1080},{"name":"TFT5_Velkoz","disname":"U2001012_TFT5_Velkoz_8","type":5,"block":2,"hp":700},{"name":"TFT5_Khazix","disname":"U2000241_TFT5_Khazix_27","type":5,"block":1,"hp":500},{"name":"TFT5_Pyke","disname":"U2000571_TFT5_Pyke_15","type":5,"block":1,"hp":650},{"name":"TFT5_Nocturne","disname":"U2000947_TFT5_Nocturne_22","type":5,"block":1,"hp":650},{"name":"TFT5_Jax","disname":"U2000964_TFT5_Jax_7","type":5,"block":1,"hp":1000},{"name":"TFT5_Rell","disname":"U2000999_TFT5_Rell_11","type":5,"block":1,"hp":1710},{"name":"TFT5_Ivern","disname":"U2001048_TFT5_Ivern_24","type":5,"block":1,"hp":950},{"name":"TFT5_Ivern","disname":"U2001049_TFT5_Ivern_9","type":5,"block":1,"hp":950},{"name":"TFT5_Aphelios","disname":"U2001051_TFT5_Aphelios_20","type":5,"block":1,"hp":650},{"name":"TFT5_Olaf","disname":"U2000405_TFT5_Olaf_27","type":5,"block":3,"hp":2170},{"name":"TFT5_Irelia","disname":"U2000693_TFT5_Irelia_23","type":5,"block":3,"hp":1350},{"name":"TFT5_LeeSin","disname":"U2000771_TFT5_LeeSin_23","type":5,"block":3,"hp":850},{"name":"TFT5_Rakan","disname":"U2000824_TFT5_Rakan_18","type":5,"block":3,"hp":800},{"name":"TFT5_MissFortune","disname":"U2000928_TFT5_MissFortune_13","type":5,"block":3,"hp":700},{"name":"TFT5_Galio","disname":"U2001032_TFT5_Galio_7","type":5,"block":3,"hp":1000},{"name":"TFT5_Ivern","disname":"U2001045_TFT5_Ivern_9","type":5,"block":3,"hp":950},{"name":"TFT5_Akshan","disname":"U2001149_TFT5_Akshan_2","type":5,"block":3,"hp":850},{"name":"TFT5_Rell","disname":"U2000994_TFT5_Rell_1","type":5,"block":7,"hp":950},{"name":"TFT5_DraconicEgg","disname":"U2001688_TFT5_DraconicEgg_1","type":5,"block":7,"hp":2},{"name":"TFT5_Fiddlesticks","disname":"U2001064_TFT5_Fiddlesticks_1","type":5,"block":1,"hp":800},{"name":"TFT5_Heimerdinger","disname":"U2001111_TFT5_Heimerdinger_1","type":5,"block":7,"hp":800},{"name":"TFT5_Udyr","disname":"U2000163_TFT5_Udyr_1","type":5,"block":7,"hp":700},{"name":"TFT5_Pyke","disname":"U2000561_TFT5_Pyke_1","type":5,"block":5,"hp":650}]}</t>
  </si>
  <si>
    <t>没大头 推荐大头</t>
  </si>
  <si>
    <t>{"success":true,"code":200,"msg":"鎴愬姛","data":[{"isme":true,"zt":5,"fit":0,"name":"TFTChampion","disname":"AlphaChess","type":3,"block":8,"hp":939},{"fit":1,"name":"TFTChampion","disname":"bTL绾?9l075z686Q","type":3,"block":7,"hp":58},{"fit":1,"name":"TFTChampion","disname":"涓朵付澶х孩鐗檡f","type":3,"block":5,"hp":76},{"fit":1,"name":"TFTChampion","disname":"vXy榛?713776800Q","type":3,"block":2,"hp":54},{"fit":0,"name":"TFTChampion","disname":"棣欒崏鍐版縺鏋?,"type":3,"block":1,"hp":96},{"fit":1,"name":"TFTChampion","disname":"Monstar涓禖hina","type":3,"block":0,"hp":90},{"fit":1,"name":"TFTChampion","disname":"鐙瓙geigei","type":3,"block":3,"hp":94},{"fit":1,"name":"TFTChampion","disname":"0绮夎壊澶曢槼0","type":3,"block":6,"hp":92},{"name":"TFT5_Nautilus","disname":"U2000633_TFT5_Nautilus_2","type":5,"block":0,"hp":750},{"name":"TFT5_Brand","disname":"U2000531_TFT5_Brand_1","type":5,"block":5,"hp":600},{"name":"TFT5_Senna","disname":"U2000382_TFT5_Senna_1","type":5,"block":0,"hp":500},{"name":"TFT5_Kalista","disname":"U2000441_TFT5_Kalista_1","type":5,"block":5,"hp":500},{"name":"TFT5_Nautilus","disname":"U2000640_TFT5_Nautilus_1","type":5,"block":0,"hp":750},{"name":"TFT5_Kalista","disname":"U2000425_TFT5_Kalista_1","type":5,"block":1,"hp":500},{"name":"TFT5_Leona","disname":"U2000139_TFT5_Leona_7","type":5,"block":8,"hp":700},{"name":"TFT5_Kled","disname":"U2000273_TFT5_Kled_2","type":5,"block":3,"hp":720},{"name":"TFT5_Kennen","disname":"U2000616_TFT5_Kennen_2","type":5,"block":0,"hp":600},{"name":"TFT5_Udyr","disname":"U2000176_TFT5_Udyr_1","type":5,"block":0,"hp":700},{"name":"TFT5_LeeSin","disname":"U2000766_TFT5_LeeSin_1","type":5,"block":0,"hp":850},{"name":"TFT5_Poppy","disname":"U2000300_TFT5_Poppy_1","type":5,"block":3,"hp":1080},{"name":"TFT5_Aatrox","disname":"U2000095_TFT5_Aatrox_1","type":5,"block":3,"hp":650},{"name":"TFT5_Aatrox","disname":"U2000086_TFT5_Aatrox_1","type":5,"block":3,"hp":650},{"name":"TFT5_Rakan","disname":"U2000810_TFT5_Rakan_3","type":5,"block":8,"hp":800},{"name":"TFT5_DraconicEgg","disname":"U2001313_TFT5_DraconicEgg_1","type":5,"block":5,"hp":1},{"name":"TFT5_Senna","disname":"U2000389_TFT5_Senna_1","type":5,"block":3,"hp":500},{"name":"TFT5_Udyr","disname":"U2000163_TFT5_Udyr_1","type":5,"block":5,"hp":700},{"name":"TFT5_Zyra","disname":"U2000858_TFT5_Zyra_1","type":5,"block":5,"hp":600},{"name":"TFT5_Udyr","disname":"U2000167_TFT5_Udyr_1","type":5,"block":0,"hp":700},{"name":"TFT5_Syndra","disname":"U2000509_TFT5_Syndra_1","type":5,"block":8,"hp":600},{"name":"TFT5_Leona","disname":"U2000136_TFT5_Leona_1","type":5,"block":8,"hp":700},{"name":"TFT5_Aatrox","disname":"U2000073_TFT5_Aatrox_11","type":5,"block":7,"hp":800},{"name":"TFT5_MissFortune","disname":"U2000918_TFT5_MissFortune_5","type":5,"block":7,"hp":700},{"name":"TFT5_Aatrox","disname":"U2000097_TFT5_Aatrox_12","type":5,"block":8,"hp":1170},{"name":"TFT5_Kalista","disname":"U2000431_TFT5_Kalista_3","type":5,"block":8,"hp":500},{"name":"TFT5_Varus","disname":"U2000452_TFT5_Varus_10","type":5,"block":8,"hp":600},{"name":"TFT5_Syndra","disname":"U2000512_TFT5_Syndra_8","type":5,"block":8,"hp":600},{"name":"TFT5_Nunu","disname":"U2000871_TFT5_Nunu_4","type":5,"block":8,"hp":900},{"name":"TFT5_Udyr","disname":"U2000182_TFT5_Udyr_8","type":5,"block":5,"hp":1260},{"name":"TFT5_Kalista","disname":"U2000434_TFT5_Kalista_4","type":5,"block":5,"hp":500},{"name":"TFT5_Ashe","disname":"U2000828_TFT5_Ashe_2","type":5,"block":5,"hp":550},{"name":"TFT5_Zyra","disname":"U2000849_TFT5_Zyra_8","type":5,"block":5,"hp":600},{"name":"TFT5_Gragas","disname":"U2000305_TFT5_Gragas_12","type":5,"block":2,"hp":750},{"name":"TFT5_Irelia","disname":"U2000695_TFT5_Irelia_5","type":5,"block":2,"hp":750},{"name":"TFT5_Senna","disname":"U2000372_TFT5_Senna_6","type":5,"block":1,"hp":500},{"name":"TFT5_Kalista","disname":"U2000440_TFT5_Kalista_12","type":5,"block":1,"hp":500},{"name":"TFT5_Varus","disname":"U2000460_TFT5_Varus_11","type":5,"block":1,"hp":1080},{"name":"TFT5_Sejuani","disname":"U2000586_TFT5_Sejuani_8","type":5,"block":1,"hp":750},{"name":"TFT5_Nocturne","disname":"U2000936_TFT5_Nocturne_6","type":5,"block":1,"hp":650},{"name":"TFT5_Poppy","disname":"U2000277_TFT5_Poppy_11","type":5,"block":0,"hp":750},{"name":"TFT5_Senna","disname":"U2000383_TFT5_Senna_11","type":5,"block":0,"hp":500},{"name":"TFT5_Olaf","disname":"U2000398_TFT5_Olaf_10","type":5,"block":0,"hp":1170},{"name":"TFT5_Kennen","disname":"U2000623_TFT5_Kennen_6","type":5,"block":0,"hp":600},{"name":"TFT5_Poppy","disname":"U2000287_TFT5_Poppy_7","type":5,"block":3,"hp":1080},{"name":"TFT5_Kalista","disname":"U2000435_TFT5_Kalista_7","type":5,"block":3,"hp":900},{"name":"TFT5_Tristana","disname":"U2000727_TFT5_Tristana_8","type":5,"block":3,"hp":550},{"name":"TFT5_Riven","disname":"U2000738_TFT5_Riven_5","type":5,"block":3,"hp":850},{"name":"TFT5_Leona","disname":"U2000138_TFT5_Leona_9","type":5,"block":6,"hp":700},{"name":"TFT5_Vladimir","disname":"U2000201_TFT5_Vladimir_2","type":5,"block":6,"hp":650},{"name":"TFT5_Vladimir","disname":"U2000215_TFT5_Vladimir_10","type":5,"block":6,"hp":1170},{"name":"TFT5_Poppy","disname":"U2000276_TFT5_Poppy_12","type":5,"block":6,"hp":600},{"name":"TFT5_DraconicEgg","disname":"U2001321_TFT5_DraconicEgg_1","type":5,"block":5,"hp":1}]}</t>
  </si>
  <si>
    <t>"block":8,"hp":939</t>
  </si>
  <si>
    <t>{"success":true,"code":200,"msg":"鎴愬姛","data":["TFT5_Yasuo","TFT5_Kled","TFT5_Hecarim","Sold","TFT5_Kennen"]}</t>
  </si>
  <si>
    <t>文章武器的例子</t>
  </si>
  <si>
    <t>{"success":true,"code":200,"msg":"鎴愬姛","data":["TFT5_Lux","TFT5_Rakan","TFT5_Aatrox","TFT5_Hecarim","TFT5_Poppy"]}</t>
  </si>
  <si>
    <t>{"success":true,"code":200,"msg":"鎴愬姛","data":["TFT5_MissFortune","TFT5_Nautilus","TFT5_Pyke","TFT5_Kled","TFT5_Nunu"]}</t>
  </si>
  <si>
    <t>TFT5_HeimerTurret</t>
  </si>
  <si>
    <t>{"success":true,"code":200,"msg":"鎴愬姛","data":["Sold","Sold","Sold","TFT5_Kalista","TFT5_Kled"]}</t>
  </si>
  <si>
    <t>{"success":true,"code":200,"msg":"鎴愬姛","data":["TFT5_Nidalee","TFT5_MissFortune","TFT5_Brand","TFT5_Khazix","TFT5_Vladimir"]}</t>
  </si>
  <si>
    <t>{"success":true,"code":200,"msg":"鎴愬姛","data":["TFT5_Udyr","TFT5_Vayne","Sold","TFT5_Kalista","TFT5_Nautilus"]}</t>
  </si>
  <si>
    <t>上的是后面</t>
  </si>
  <si>
    <t>{"success":true,"code":200,"msg":"鎴愬姛","data":[{"isme":true,"zt":5,"fit":0,"name":"TFTChampion","disname":"AlphaChess","type":3,"block":6,"hp":17},{"fit":3,"name":"TFTChampion","disname":"鏉￠当宸濋挗鏉?,"type":3,"block":7,"hp":29},{"fit":3,"name":"TFTChampion","disname":"涓舵倝钖皧渚?,"type":3,"block":8,"hp":1},{"fit":2,"name":"TFTChampion","disname":"Feimerrcy","type":3,"block":5,"hp":46},{"fit":3,"name":"TFTChampion","disname":"蹇冧簨鍙湁褰卞瓙钖?,"type":3,"block":2,"hp":53},{"fit":3,"name":"TFTChampion","disname":"澶╃┖涔奶澏","type":3,"block":1,"hp":27},{"fit":2,"name":"TFTChampion","disname":"褰卞笣AA","type":3,"block":0,"hp":6},{"fit":2,"name":"TFTChampion","disname":"鏆楀绮剧伒233","type":3,"block":3,"hp":31},{"name":"TFT5_Poppy","disname":"U2000294_TFT5_Poppy_3","type":5,"block":5,"hp":1080},{"name":"TFT5_Senna","disname":"U2000385_TFT5_Senna_3","type":5,"block":0,"hp":900},{"name":"TFT5_Poppy","disname":"U2000292_TFT5_Poppy_13","type":5,"block":5,"hp":1080},{"name":"TFT5_Senna","disname":"U2000371_TFT5_Senna_2","type":5,"block":0,"hp":500},{"name":"TFT5_Nautilus","disname":"U2000627_TFT5_Nautilus_1","type":5,"block":3,"hp":750},{"name":"TFT5_Sejuani","disname":"U2000603_TFT5_Sejuani_1","type":5,"block":3,"hp":1350},{"name":"TFT5_Galio","disname":"U2001035_TFT5_Galio_1","type":5,"block":5,"hp":1000},{"name":"TFT5_Leona","disname":"U2000136_TFT5_Leona_1","type":5,"block":5,"hp":700},{"name":"TFT5_Hecarim","disname":"U2000553_TFT5_Hecarim_1","type":5,"block":3,"hp":750},{"name":"TFT5_Thresh","disname":"U2000663_TFT5_Thresh_1","type":5,"block":3,"hp":1440},{"name":"TFT5_MissFortune","disname":"U2000922_TFT5_MissFortune_1","type":5,"block":3,"hp":700},{"name":"TFT5_Hecarim","disname":"U2000551_TFT5_Hecarim_1","type":5,"block":3,"hp":750},{"name":"TFT5_Sejuani","disname":"U2000597_TFT5_Sejuani_1","type":5,"block":3,"hp":750},{"name":"TFT5_Varus","disname":"U2000460_TFT5_Varus_15","type":5,"block":5,"hp":1080},{"name":"TFT5_Viego","disname":"U2001088_TFT5_Viego_1","type":5,"block":0,"hp":1000},{"name":"TFT5_Galio","disname":"U2001036_TFT5_Galio_1","type":5,"block":7,"hp":1000},{"name":"TFT5_Leona","disname":"U2000132_TFT5_Leona_1","type":5,"block":5,"hp":700},{"name":"TFT5_Irelia","disname":"U2000695_TFT5_Irelia_1","type":5,"block":2,"hp":750},{"name":"TFT5_Nidalee","disname":"U2000882_TFT5_Nidalee_15","type":5,"block":7,"hp":800},{"name":"TFT5_Jax","disname":"U2000961_TFT5_Jax_1","type":5,"block":3,"hp":1000},{"name":"TFT5_Lucian","disname":"U2000988_TFT5_Lucian_1","type":5,"block":0,"hp":800},{"name":"TFT5_Rell","disname":"U2000994_TFT5_Rell_1","type":5,"block":5,"hp":950},{"name":"TFT5_Brand","disname":"U2000520_TFT5_Brand_4","type":5,"block":8,"hp":1080},{"name":"TFT5_Irelia","disname":"U2000712_TFT5_Irelia_1","type":5,"block":7,"hp":750},{"name":"TFT5_Jax","disname":"U2000964_TFT5_Jax_1","type":5,"block":7,"hp":1000},{"name":"TFT5_Hecarim","disname":"U2000540_TFT5_Hecarim_1","type":5,"block":2,"hp":750},{"name":"TFT5_Galio","disname":"U2001029_TFT5_Galio_1","type":5,"block":2,"hp":1000},{"name":"TFT5_Rakan","disname":"U2000817_TFT5_Rakan_1","type":5,"block":0,"hp":800},{"name":"TFT5_Sejuani","disname":"U2000599_TFT5_Sejuani_1","type":5,"block":0,"hp":750},{"name":"TFT5_Lucian","disname":"U2000990_TFT5_Lucian_1","type":5,"block":0,"hp":800},{"name":"TFT5_Velkoz","disname":"U2001013_TFT5_Velkoz_2","type":5,"block":6,"hp":700},{"name":"TFT5_Poppy","disname":"U2000284_TFT5_Poppy_30","type":5,"block":0,"hp":1080},{"name":"TFT5_MissFortune","disname":"U2000929_TFT5_MissFortune_21","type":5,"block":0,"hp":1260},{"name":"TFT5_DraconicEgg","disname":"U2001861_TFT5_DraconicEgg_1","type":5,"block":8,"hp":2},{"name":"TFT5_Brand","disname":"U2000525_TFT5_Brand_1","type":5,"block":8,"hp":600},{"name":"TFT5_Nidalee","disname":"U2000895_TFT5_Nidalee_1","type":5,"block":7,"hp":800},{"name":"TFT5_Riven","disname":"U2000738_TFT5_Riven_3","type":5,"block":7,"hp":1530},{"name":"TFT5_Nunu","disname":"U2000864_TFT5_Nunu_1","type":5,"block":8,"hp":1620},{"name":"TFT5_Aatrox","disname":"U2000086_TFT5_Aatrox_1","type":5,"block":6,"hp":650},{"name":"TFT5_Brand","disname":"U2000518_TFT5_Brand_1","type":5,"block":8,"hp":600},{"name":"TFT5_Nautilus","disname":"U2000643_TFT5_Nautilus_13","type":5,"block":7,"hp":1350},{"name":"TFT5_Irelia","disname":"U2000699_TFT5_Irelia_12","type":5,"block":7,"hp":1800},{"name":"TFT5_Riven","disname":"U2000739_TFT5_Riven_19","type":5,"block":7,"hp":1530},{"name":"TFT5_Nidalee","disname":"U2000888_TFT5_Nidalee_16","type":5,"block":7,"hp":1440},{"name":"TFT5_Jax","disname":"U2000963_TFT5_Jax_8","type":5,"block":7,"hp":1150},{"name":"TFT5_Rell","disname":"U2000996_TFT5_Rell_11","type":5,"block":7,"hp":1710},{"name":"TFT5_Galio","disname":"U2001034_TFT5_Galio_6","type":5,"block":7,"hp":1000},{"name":"TFT5_Kalista","disname":"U2000440_TFT5_Kalista_25","type":5,"block":8,"hp":900},{"name":"TFT5_Brand","disname":"U2000535_TFT5_Brand_28","type":5,"block":8,"hp":1080},{"name":"TFT5_Ashe","disname":"U2000845_TFT5_Ashe_18","type":5,"block":8,"hp":990},{"name":"TFT5_Nunu","disname":"U2000880_TFT5_Nunu_14","type":5,"block":8,"hp":1770},{"name":"TFT5_Galio","disname":"U2001033_TFT5_Galio_16","type":5,"block":8,"hp":1800},{"name":"TFT5_Ivern","disname":"U2001041_TFT5_Ivern_7","type":5,"block":8,"hp":1710},{"name":"TFT5_Fiddlesticks","disname":"U2001069_TFT5_Fiddlesticks_4","type":5,"block":8,"hp":1440},{"name":"TFT5_Teemo","disname":"U2001100_TFT5_Teemo_3","type":5,"block":8,"hp":800},{"name":"TFT5_Leona","disname":"U2000142_TFT5_Leona_28","type":5,"block":5,"hp":1260},{"name":"TFT5_Hecarim","disname":"U2000558_TFT5_Hecarim_17","type":5,"block":5,"hp":1350},{"name":"TFT5_Nautilus","disname":"U2000629_TFT5_Nautilus_31","type":5,"block":5,"hp":1350},{"name":"TFT5_Thresh","disname":"U2000654_TFT5_Thresh_31","type":5,"block":5,"hp":1440},{"name":"TFT5_Rell","disname":"U2000992_TFT5_Rell_9","type":5,"block":5,"hp":950},{"name":"TFT5_Velkoz","disname":"U2001011_TFT5_Velkoz_19","type":5,"block":5,"hp":850},{"name":"TFT5_Galio","disname":"U2001037_TFT5_Galio_15","type":5,"block":5,"hp":1150},{"name":"TFT5_Hecarim","disname":"U2000559_TFT5_Hecarim_31","type":5,"block":2,"hp":1500},{"name":"TFT5_Nautilus","disname":"U2000637_TFT5_Nautilus_16","type":5,"block":2,"hp":1350},{"name":"TFT5_Thresh","disname":"U2000656_TFT5_Thresh_31","type":5,"block":2,"hp":1440},{"name":"TFT5_Irelia","disname":"U2000703_TFT5_Irelia_13","type":5,"block":2,"hp":1500},{"name":"TFT5_Jax","disname":"U2000966_TFT5_Jax_19","type":5,"block":2,"hp":1800},{"name":"TFT5_Rell","disname":"U2000995_TFT5_Rell_13","type":5,"block":2,"hp":1710},{"name":"TFT5_Galio","disname":"U2001032_TFT5_Galio_6","type":5,"block":2,"hp":1000},{"name":"TFT5_Senna","disname":"U2000363_TFT5_Senna_34","type":5,"block":1,"hp":900},{"name":"TFT5_Olaf","disname":"U2000394_TFT5_Olaf_7","type":5,"block":1,"hp":1170},{"name":"TFT5_Pyke","disname":"U2000575_TFT5_Pyke_22","type":5,"block":1,"hp":1170},{"name":"TFT5_Irelia","disname":"U2000711_TFT5_Irelia_24","type":5,"block":1,"hp":1500},{"name":"TFT5_Tristana","disname":"U2000736_TFT5_Tristana_28","type":5,"block":1,"hp":990},{"name":"TFT5_Rakan","disname":"U2000827_TFT5_Rakan_14","type":5,"block":1,"hp":1440},{"name":"TFT5_Lucian","disname":"U2000979_TFT5_Lucian_7","type":5,"block":1,"hp":1440},{"name":"TFT5_Akshan","disname":"U2001155_TFT5_Akshan_3","type":5,"block":1,"hp":850},{"name":"TFT5_Kled","disname":"U2000267_TFT5_Kled_31","type":5,"block":0,"hp":870},{"name":"TFT5_Senna","disname":"U2000381_TFT5_Senna_28","type":5,"block":0,"hp":900},{"name":"TFT5_Olaf","disname":"U2000398_TFT5_Olaf_17","type":5,"block":0,"hp":2256},{"name":"TFT5_Sejuani","disname":"U2000584_TFT5_Sejuani_30","type":5,"block":0,"hp":1350},{"name":"TFT5_Irelia","disname":"U2000713_TFT5_Irelia_2","type":5,"block":0,"hp":750},{"name":"TFT5_Rakan","disname":"U2000821_TFT5_Rakan_8","type":5,"block":0,"hp":1440},{"name":"TFT5_Akshan","disname":"U2001151_TFT5_Akshan_11","type":5,"block":0,"hp":1530},{"name":"TFT5_Hecarim","disname":"U2000554_TFT5_Hecarim_19","type":5,"block":3,"hp":2350},{"name":"TFT5_Sejuani","disname":"U2000601_TFT5_Sejuani_22","type":5,"block":3,"hp":1500},{"name":"TFT5_Nautilus","disname":"U2000631_TFT5_Nautilus_30","type":5,"block":3,"hp":1500},{"name":"TFT5_Thresh","disname":"U2000649_TFT5_Thresh_26","type":5,"block":3,"hp":1440},{"name":"TFT5_MissFortune","disname":"U2000931_TFT5_MissFortune_16","type":5,"block":3,"hp":700},{"name":"TFT5_Rell","disname":"U2001002_TFT5_Rell_9","type":5,"block":3,"hp":950},{"name":"TFT5_Draven","disname":"U2001079_TFT5_Draven_5","type":5,"block":3,"hp":700},{"name":"TFT5_Senna","disname":"U2000380_TFT5_Senna_18","type":5,"block":6,"hp":900},{"name":"TFT5_Olaf","disname":"U2000408_TFT5_Olaf_14","type":5,"block":6,"hp":1170},{"name":"TFT5_Pyke","disname":"U2000567_TFT5_Pyke_22","type":5,"block":6,"hp":1320},{"name":"TFT5_Thresh","disname":"U2000661_TFT5_Thresh_13","type":5,"block":6,"hp":1440},{"name":"TFT5_MissFortune","disname":"U2000932_TFT5_MissFortune_24","type":5,"block":6,"hp":1260},{"name":"TFT5_Karma","disname":"U2000970_TFT5_Karma_18","type":5,"block":6,"hp":1260},{"name":"TFT5_Heimerdinger","disname":"U2001108_TFT5_Heimerdinger_8","type":5,"block":6,"hp":800},{"name":"TFT5_Garen","disname":"U2001132_TFT5_Garen_2","type":5,"block":6,"hp":1350},{"name":"TFT5_HeimerTurret","disname":"U2001704_TFT5_HeimerTurret_7","type":5,"block":6,"hp":1000},{"name":"TFT5_Ivern","disname":"U2001043_TFT5_Ivern_1","type":5,"block":6,"hp":950},{"name":"TFT5_MissFortune","disname":"U2000923_TFT5_MissFortune_1","type":5,"block":6,"hp":700},{"name":"TFT5_Akshan","disname":"U2001156_TFT5_Akshan_1","type":5,"block":6,"hp":850},{"name":"TFT5_Ivern","disname":"U2001049_TFT5_Ivern_1","type":5,"block":6,"hp":950},{"name":"TFT5_Viego","disname":"U2001093_TFT5_Viego_1","type":5,"block":6,"hp":1000},{"name":"TFT5_Nunu","disname":"U2000865_TFT5_Nunu_4","type":5,"block":8,"hp":900},{"name":"TFT5_Tristana","disname":"U2000726_TFT5_Tristana_1","type":5,"block":1,"hp":550},{"name":"TFT5_Gwen","disname":"U2001122_TFT5_Gwen_1","type":5,"block":6,"hp":950}]}</t>
  </si>
  <si>
    <t>{"success":true,"code":200,"msg":"鎴愬姛","data":[{"isme":true,"zt":5,"fit":0,"name":"TFTChampion","disname":"AlphaChess","type":3,"block":8,"hp":71},{"fit":2,"name":"TFTChampion","disname":"鍧戞槸涓€镙峰闂?,"type":3,"block":7,"hp":16},{"fit":1,"name":"TFTChampion","disname":"鍒€鍓戝嬁鎯?,"type":3,"block":5,"hp":62},{"fit":1,"name":"TFTChampion","disname":"娴佸姩琛ヨ儙鍏佛宁埚倕","type":3,"block":2,"hp":0},{"fit":2,"name":"TFTChampion","disname":"娆у姏板呭壊","type":3,"block":1,"hp":19},{"fit":4,"name":"TFTChampion","disname":"姗桦瓙寰埚汹","type":3,"block":0,"hp":31},{"fit":3,"name":"TFTChampion","disname":"链卞彝锷涚敎鐢滃湀","type":3,"block":3,"hp":53},{"fit":2,"name":"TFTChampion","disname":"鍟ユ椂炼欎笂凿滃晩","type":3,"block":6,"hp":37},{"name":"TFT5_Vayne","disname":"U2000119_TFT5_Vayne_1","type":5,"block":5,"hp":900},{"name":"TFT5_Vayne","disname":"U2000112_TFT5_Vayne_1","type":5,"block":5,"hp":500},{"name":"TFT5_Kalista","disname":"U2000432_TFT5_Kalista_1","type":5,"block":7,"hp":500},{"name":"TFT5_Ziggs","disname":"U2000336_TFT5_Ziggs_1","type":5,"block":1,"hp":450},{"name":"TFT5_Ashe","disname":"U2000831_TFT5_Ashe_1","type":5,"block":8,"hp":550},{"name":"TFT5_Draven","disname":"U2001081_TFT5_Draven_1","type":5,"block":3,"hp":700},{"name":"TFT5_Varus","disname":"U2000468_TFT5_Varus_1","type":5,"block":5,"hp":600},{"name":"TFT5_Leona","disname":"U2000146_TFT5_Leona_1","type":5,"block":6,"hp":700},{"name":"TFT5_Varus","disname":"U2000455_TFT5_Varus_1","type":5,"block":6,"hp":1080},{"name":"TFT5_Tristana","disname":"U2000719_TFT5_Tristana_1","type":5,"block":1,"hp":990},{"name":"TFT5_Irelia","disname":"U2000707_TFT5_Irelia_1","type":5,"block":0,"hp":1350},{"name":"TFT5_Leona","disname":"U2000142_TFT5_Leona_1","type":5,"block":5,"hp":700},{"name":"TFT5_Jax","disname":"U2000957_TFT5_Jax_1","type":5,"block":1,"hp":1000},{"name":"TFT5_Hecarim","disname":"U2000558_TFT5_Hecarim_11","type":5,"block":3,"hp":1350},{"name":"TFT5_Jax","disname":"U2000959_TFT5_Jax_1","type":5,"block":3,"hp":1000},{"name":"TFT5_Nocturne","disname":"U2000937_TFT5_Nocturne_1","type":5,"block":7,"hp":650},{"name":"TFT5_Galio","disname":"U2001027_TFT5_Galio_1","type":5,"block":7,"hp":1000},{"name":"TFT5_Syndra","disname":"U2000502_TFT5_Syndra_2","type":5,"block":6,"hp":600},{"name":"TFT5_Ziggs","disname":"U2000348_TFT5_Ziggs_1","type":5,"block":1,"hp":450},{"name":"TFT5_Irelia","disname":"U2000701_TFT5_Irelia_1","type":5,"block":1,"hp":750},{"name":"TFT5_Poppy","disname":"U2000278_TFT5_Poppy_2","type":5,"block":1,"hp":1080},{"name":"TFT5_Hecarim","disname":"U2000543_TFT5_Hecarim_2","type":5,"block":3,"hp":750},{"name":"TFT5_Hecarim","disname":"U2000555_TFT5_Hecarim_1","type":5,"block":3,"hp":750},{"name":"TFT5_Draven","disname":"U2001080_TFT5_Draven_1","type":5,"block":0,"hp":700},{"name":"TFT5_Ashe","disname":"U2000842_TFT5_Ashe_17","type":5,"block":8,"hp":550},{"name":"TFT5_Leona","disname":"U2000131_TFT5_Leona_13","type":5,"block":5,"hp":700},{"name":"TFT5_Varus","disname":"U2000458_TFT5_Varus_1","type":5,"block":6,"hp":600},{"name":"TFT5_MissFortune","disname":"U2000918_TFT5_MissFortune_1","type":5,"block":3,"hp":700},{"name":"TFT5_Nunu","disname":"U2000869_TFT5_Nunu_1","type":5,"block":0,"hp":1620},{"name":"TFT5_Fiddlesticks","disname":"U2001065_TFT5_Fiddlesticks_1","type":5,"block":8,"hp":800},{"name":"TFT5_Aphelios","disname":"U2001059_TFT5_Aphelios_1","type":5,"block":8,"hp":650},{"name":"TFT5_Velkoz","disname":"U2001006_TFT5_Velkoz_1","type":5,"block":6,"hp":700},{"name":"TFT5_Lulu","disname":"U2000777_TFT5_Lulu_1","type":5,"block":1,"hp":650},{"name":"TFT5_Hecarim","disname":"U2000551_TFT5_Hecarim_5","type":5,"block":8,"hp":750},{"name":"TFT5_Nautilus","disname":"U2000639_TFT5_Nautilus_24","type":5,"block":8,"hp":750},{"name":"TFT5_Rell","disname":"U2000992_TFT5_Rell_6","type":5,"block":6,"hp":950},{"name":"TFT5_Sejuani","disname":"U2000583_TFT5_Sejuani_1","type":5,"block":3,"hp":1350},{"name":"TFT5_Jax","disname":"U2000961_TFT5_Jax_1","type":5,"block":1,"hp":1000},{"name":"TFT5_Velkoz","disname":"U2001013_TFT5_Velkoz_1","type":5,"block":5,"hp":700},{"name":"TFT5_Rakan","disname":"U2000812_TFT5_Rakan_1","type":5,"block":7,"hp":800},{"name":"TFT5_Ivern","disname":"U2001046_TFT5_Ivern_1","type":5,"block":8,"hp":950},{"name":"TestCubeRender","disname":"TestCube","type":5,"block":0,"hp":100},{"name":"TFT5_Senna","disname":"U2000371_TFT5_Senna_3","type":5,"block":7,"hp":500},{"name":"TFT5_Kalista","disname":"U2000446_TFT5_Kalista_23","type":5,"block":7,"hp":500},{"name":"TFT5_Brand","disname":"U2000517_TFT5_Brand_16","type":5,"block":7,"hp":1080},{"name":"TFT5_Sejuani","disname":"U2000585_TFT5_Sejuani_18","type":5,"block":7,"hp":1750},{"name":"TFT5_Rakan","disname":"U2000818_TFT5_Rakan_3","type":5,"block":7,"hp":800},{"name":"TFT5_Nunu","disname":"U2000881_TFT5_Nunu_16","type":5,"block":7,"hp":1300},{"name":"TFT5_MissFortune","disname":"U2000930_TFT5_MissFortune_2","type":5,"block":7,"hp":700},{"name":"TFT5_Nocturne","disname":"U2000936_TFT5_Nocturne_17","type":5,"block":7,"hp":1170},{"name":"TFT5_Galio","disname":"U2001036_TFT5_Galio_4","type":5,"block":7,"hp":1000},{"name":"TFT5_Leona","disname":"U2000136_TFT5_Leona_25","type":5,"block":8,"hp":1260},{"name":"TFT5_Varus","disname":"U2000454_TFT5_Varus_25","type":5,"block":8,"hp":1080},{"name":"TFT5_Karma","disname":"U2000978_TFT5_Karma_14","type":5,"block":8,"hp":700},{"name":"TFT5_Lucian","disname":"U2000988_TFT5_Lucian_2","type":5,"block":8,"hp":1440},{"name":"TFT5_Rell","disname":"U2000996_TFT5_Rell_13","type":5,"block":8,"hp":950},{"name":"TFT5_Galio","disname":"U2001033_TFT5_Galio_2","type":5,"block":8,"hp":1000},{"name":"TFT5_Aphelios","disname":"U2001062_TFT5_Aphelios_5","type":5,"block":8,"hp":650},{"name":"TFT5_Aatrox","disname":"U2000084_TFT5_Aatrox_25","type":5,"block":5,"hp":1170},{"name":"TFT5_Vayne","disname":"U2000102_TFT5_Vayne_28","type":5,"block":5,"hp":900},{"name":"TFT5_Varus","disname":"U2000463_TFT5_Varus_13","type":5,"block":5,"hp":600},{"name":"TFT5_Syndra","disname":"U2000516_TFT5_Syndra_9","type":5,"block":5,"hp":1944},{"name":"TFT5_Lux","disname":"U2000806_TFT5_Lux_8","type":5,"block":5,"hp":1080},{"name":"TFT5_Rell","disname":"U2000995_TFT5_Rell_5","type":5,"block":5,"hp":950},{"name":"TFT5_Velkoz","disname":"U2001008_TFT5_Velkoz_9","type":5,"block":5,"hp":700},{"name":"TFT5_Kled","disname":"U2000274_TFT5_Kled_25","type":5,"block":1,"hp":720},{"name":"TFT5_Poppy","disname":"U2000276_TFT5_Poppy_34","type":5,"block":1,"hp":1230},{"name":"TFT5_Ziggs","disname":"U2000361_TFT5_Ziggs_26","type":5,"block":1,"hp":810},{"name":"TFT5_Tristana","disname":"U2000731_TFT5_Tristana_15","type":5,"block":1,"hp":990},{"name":"TFT5_Lulu","disname":"U2000778_TFT5_Lulu_30","type":5,"block":1,"hp":650},{"name":"TFT5_Teemo","disname":"U2001103_TFT5_Teemo_4","type":5,"block":1,"hp":800},{"name":"TFT5_Heimerdinger","disname":"U2001108_TFT5_Heimerdinger_7","type":5,"block":1,"hp":800},{"name":"TFT5_HeimerTurret","disname":"U2001723_TFT5_HeimerTurret_6","type":5,"block":1,"hp":1000},{"name":"TFT5_Gragas","disname":"U2000307_TFT5_Gragas_26","type":5,"block":0,"hp":1750},{"name":"TFT5_Soraka","disname":"U2000473_TFT5_Soraka_15","type":5,"block":0,"hp":990},{"name":"TFT5_Sejuani","disname":"U2000593_TFT5_Sejuani_26","type":5,"block":0,"hp":1750},{"name":"TFT5_Sett","disname":"U2000673_TFT5_Sett_24","type":5,"block":0,"hp":1750},{"name":"TFT5_Riven","disname":"U2000748_TFT5_Riven_21","type":5,"block":0,"hp":2530},{"name":"TFT5_Draven","disname":"U2001086_TFT5_Draven_10","type":5,"block":0,"hp":850},{"name":"TFT5_Hecarim","disname":"U2000540_TFT5_Hecarim_26","type":5,"block":3,"hp":3300},{"name":"TFT5_Sejuani","disname":"U2000603_TFT5_Sejuani_25","type":5,"block":3,"hp":1350},{"name":"TFT5_Nautilus","disname":"U2000640_TFT5_Nautilus_20","type":5,"block":3,"hp":1350},{"name":"TFT5_Thresh","disname":"U2000655_TFT5_Thresh_24","type":5,"block":3,"hp":1440},{"name":"TFT5_MissFortune","disname":"U2000927_TFT5_MissFortune_7","type":5,"block":3,"hp":700},{"name":"TFT5_Draven","disname":"U2001083_TFT5_Draven_14","type":5,"block":3,"hp":700},{"name":"TFT5_Aatrox","disname":"U2000096_TFT5_Aatrox_16","type":5,"block":6,"hp":1170},{"name":"TFT5_Leona","disname":"U2000135_TFT5_Leona_21","type":5,"block":6,"hp":1260},{"name":"TFT5_Varus","disname":"U2000451_TFT5_Varus_14","type":5,"block":6,"hp":1080},{"name":"TFT5_Syndra","disname":"U2000506_TFT5_Syndra_20","type":5,"block":6,"hp":1080},{"name":"TFT5_Lux","disname":"U2000796_TFT5_Lux_14","type":5,"block":6,"hp":1080},{"name":"TFT5_Velkoz","disname":"U2001003_TFT5_Velkoz_15","type":5,"block":6,"hp":1410},{"name":"TFT5_Ivern","disname":"U2001039_TFT5_Ivern_9","type":5,"block":6,"hp":950},{"name":"TFT5_Fiddlesticks","disname":"U2001073_TFT5_Fiddlesticks_1","type":5,"block":8,"hp":800},{"name":"TFT5_Lux","disname":"U2000808_TFT5_Lux_1","type":5,"block":5,"hp":600}]}</t>
  </si>
  <si>
    <t>{"success":true,"code":200,"msg":"鎴愬姛","data":[{"isme":true,"zt":5,"fit":0,"name":"TFTChampion","disname":"AlphaChess","type":3,"block":6,"hp":17},{"fit":3,"name":"TFTChampion","disname":"鏉￠当宸濋挗鏉?,"type":3,"block":7,"hp":29},{"fit":3,"name":"TFTChampion","disname":"涓舵倝钖皧渚?,"type":3,"block":8,"hp":1},{"fit":2,"name":"TFTChampion","disname":"Feimerrcy","type":3,"block":5,"hp":26},{"fit":3,"name":"TFTChampion","disname":"蹇冧簨鍙湁褰卞瓙钖?,"type":3,"block":2,"hp":38},{"fit":4,"name":"TFTChampion","disname":"澶╃┖涔奶澏","type":3,"block":1,"hp":0},{"fit":2,"name":"TFTChampion","disname":"褰卞笣AA","type":3,"block":0,"hp":0},{"fit":3,"name":"TFTChampion","disname":"鏆楀绮剧伒233","type":3,"block":3,"hp":7},{"name":"TFT5_Poppy","disname":"U2000294_TFT5_Poppy_3","type":5,"block":5,"hp":1080},{"name":"TFT5_Poppy","disname":"U2000292_TFT5_Poppy_13","type":5,"block":5,"hp":1080},{"name":"TFT5_Nautilus","disname":"U2000627_TFT5_Nautilus_1","type":5,"block":3,"hp":750},{"name":"TFT5_Sejuani","disname":"U2000603_TFT5_Sejuani_1","type":5,"block":3,"hp":1350},{"name":"TFT5_Galio","disname":"U2001035_TFT5_Galio_1","type":5,"block":5,"hp":1000},{"name":"TFT5_Leona","disname":"U2000136_TFT5_Leona_1","type":5,"block":5,"hp":700},{"name":"TFT5_Hecarim","disname":"U2000553_TFT5_Hecarim_1","type":5,"block":3,"hp":1350},{"name":"TFT5_Sejuani","disname":"U2000597_TFT5_Sejuani_1","type":5,"block":3,"hp":750},{"name":"TFT5_Varus","disname":"U2000460_TFT5_Varus_15","type":5,"block":5,"hp":1080},{"name":"TFT5_Leona","disname":"U2000132_TFT5_Leona_1","type":5,"block":5,"hp":700},{"name":"TFT5_Irelia","disname":"U2000695_TFT5_Irelia_1","type":5,"block":2,"hp":750},{"name":"TFT5_Irelia","disname":"U2000712_TFT5_Irelia_1","type":5,"block":7,"hp":750},{"name":"TFT5_Jax","disname":"U2000964_TFT5_Jax_1","type":5,"block":7,"hp":1000},{"name":"TFT5_Hecarim","disname":"U2000540_TFT5_Hecarim_1","type":5,"block":2,"hp":750},{"name":"TFT5_Galio","disname":"U2001029_TFT5_Galio_1","type":5,"block":2,"hp":1000},{"name":"TFT5_Velkoz","disname":"U2001013_TFT5_Velkoz_2","type":5,"block":6,"hp":700},{"name":"TFT5_Riven","disname":"U2000738_TFT5_Riven_3","type":5,"block":7,"hp":1530},{"name":"TFT5_Nunu","disname":"U2000864_TFT5_Nunu_1","type":5,"block":8,"hp":1620},{"name":"TFT5_Ivern","disname":"U2001049_TFT5_Ivern_1","type":5,"block":6,"hp":950},{"name":"TFT5_Nunu","disname":"U2000865_TFT5_Nunu_4","type":5,"block":8,"hp":900},{"name":"TFT5_Velkoz","disname":"U2001009_TFT5_Velkoz_4","type":5,"block":5,"hp":700},{"name":"TFT5_Sejuani","disname":"U2000587_TFT5_Sejuani_1","type":5,"block":3,"hp":750},{"name":"TFT5_Thresh","disname":"U2000651_TFT5_Thresh_1","type":5,"block":3,"hp":800},{"name":"TFT5_Hecarim","disname":"U2000544_TFT5_Hecarim_2","type":5,"block":3,"hp":750},{"name":"TFT5_Volibear","disname":"U2001167_TFT5_Volibear_1","type":5,"block":8,"hp":1100},{"name":"TFT5_Nidalee","disname":"U2000888_TFT5_Nidalee_17","type":5,"block":7,"hp":1440},{"name":"TFT5_Draven","disname":"U2001085_TFT5_Draven_1","type":5,"block":6,"hp":1260},{"name":"TFT5_Riven","disname":"U2000743_TFT5_Riven_1","type":5,"block":7,"hp":850},{"name":"TFT5_Nidalee","disname":"U2000892_TFT5_Nidalee_1","type":5,"block":7,"hp":800},{"name":"TFT5_Nidalee","disname":"U2000886_TFT5_Nidalee_1","type":5,"block":7,"hp":800},{"name":"TFT5_Heimerdinger","disname":"U2001114_TFT5_Heimerdinger_1","type":5,"block":8,"hp":800},{"name":"TFT5_Kayle","disname":"U2001140_TFT5_Kayle_1","type":5,"block":6,"hp":650},{"name":"TFT5_Nunu","disname":"U2000875_TFT5_Nunu_1","type":5,"block":8,"hp":900},{"name":"TFT5_Nautilus","disname":"U2000643_TFT5_Nautilus_15","type":5,"block":7,"hp":1350},{"name":"TFT5_Irelia","disname":"U2000699_TFT5_Irelia_14","type":5,"block":7,"hp":1800},{"name":"TFT5_Riven","disname":"U2000739_TFT5_Riven_21","type":5,"block":7,"hp":1530},{"name":"TFT5_Nidalee","disname":"U2000885_TFT5_Nidalee_3","type":5,"block":7,"hp":1440},{"name":"TFT5_Jax","disname":"U2000963_TFT5_Jax_10","type":5,"block":7,"hp":1150},{"name":"TFT5_Rell","disname":"U2000996_TFT5_Rell_13","type":5,"block":7,"hp":1710},{"name":"TFT5_Galio","disname":"U2001034_TFT5_Galio_8","type":5,"block":7,"hp":1800},{"name":"TFT5_Kalista","disname":"U2000440_TFT5_Kalista_27","type":5,"block":8,"hp":900},{"name":"TFT5_Brand","disname":"U2000535_TFT5_Brand_30","type":5,"block":8,"hp":1944},{"name":"TFT5_Ashe","disname":"U2000845_TFT5_Ashe_20","type":5,"block":8,"hp":990},{"name":"TFT5_Nunu","disname":"U2000880_TFT5_Nunu_16","type":5,"block":8,"hp":2170},{"name":"TFT5_Ivern","disname":"U2001041_TFT5_Ivern_9","type":5,"block":8,"hp":1710},{"name":"TFT5_Fiddlesticks","disname":"U2001069_TFT5_Fiddlesticks_6","type":5,"block":8,"hp":1440},{"name":"TFT5_Teemo","disname":"U2001100_TFT5_Teemo_5","type":5,"block":8,"hp":800},{"name":"TFT5_Volibear","disname":"U2001160_TFT5_Volibear_3","type":5,"block":8,"hp":1500},{"name":"TFT5_Leona","disname":"U2000142_TFT5_Leona_31","type":5,"block":5,"hp":1260},{"name":"TFT5_Hecarim","disname":"U2000558_TFT5_Hecarim_20","type":5,"block":5,"hp":1350},{"name":"TFT5_Nautilus","disname":"U2000629_TFT5_Nautilus_34","type":5,"block":5,"hp":1350},{"name":"TFT5_Thresh","disname":"U2000654_TFT5_Thresh_34","type":5,"block":5,"hp":1440},{"name":"TFT5_Rell","disname":"U2000992_TFT5_Rell_12","type":5,"block":5,"hp":950},{"name":"TFT5_Rell","disname":"U2000994_TFT5_Rell_4","type":5,"block":5,"hp":950},{"name":"TFT5_Velkoz","disname":"U2001011_TFT5_Velkoz_22","type":5,"block":5,"hp":850},{"name":"TFT5_Galio","disname":"U2001037_TFT5_Galio_18","type":5,"block":5,"hp":1150},{"name":"TFT5_Hecarim","disname":"U2000559_TFT5_Hecarim_35","type":5,"block":2,"hp":1500},{"name":"TFT5_Nautilus","disname":"U2000637_TFT5_Nautilus_20","type":5,"block":2,"hp":1350},{"name":"TFT5_Thresh","disname":"U2000656_TFT5_Thresh_35","type":5,"block":2,"hp":1440},{"name":"TFT5_Irelia","disname":"U2000703_TFT5_Irelia_17","type":5,"block":2,"hp":1500},{"name":"TFT5_Jax","disname":"U2000966_TFT5_Jax_23","type":5,"block":2,"hp":1800},{"name":"TFT5_Rell","disname":"U2000995_TFT5_Rell_17","type":5,"block":2,"hp":1710},{"name":"TFT5_Galio","disname":"U2001032_TFT5_Galio_10","type":5,"block":2,"hp":1150},{"name":"TFT5_Hecarim","disname":"U2000554_TFT5_Hecarim_22","type":5,"block":3,"hp":2350},{"name":"TFT5_Sejuani","disname":"U2000601_TFT5_Sejuani_25","type":5,"block":3,"hp":1500},{"name":"TFT5_Nautilus","disname":"U2000631_TFT5_Nautilus_33","type":5,"block":3,"hp":1500},{"name":"TFT5_Thresh","disname":"U2000663_TFT5_Thresh_4","type":5,"block":3,"hp":1440},{"name":"TFT5_MissFortune","disname":"U2000931_TFT5_MissFortune_19","type":5,"block":3,"hp":1260},{"name":"TFT5_Jax","disname":"U2000961_TFT5_Jax_4","type":5,"block":3,"hp":1000},{"name":"TFT5_Rell","disname":"U2001002_TFT5_Rell_12","type":5,"block":3,"hp":950},{"name":"TFT5_Draven","disname":"U2001079_TFT5_Draven_8","type":5,"block":3,"hp":2500},{"name":"TFT5_Senna","disname":"U2000380_TFT5_Senna_22","type":5,"block":6,"hp":900},{"name":"TFT5_Pyke","disname":"U2000567_TFT5_Pyke_26","type":5,"block":6,"hp":1320},{"name":"TFT5_Thresh","disname":"U2000661_TFT5_Thresh_17","type":5,"block":6,"hp":1440},{"name":"TFT5_MissFortune","disname":"U2000932_TFT5_MissFortune_28","type":5,"block":6,"hp":1260},{"name":"TFT5_Karma","disname":"U2000970_TFT5_Karma_22","type":5,"block":6,"hp":1260},{"name":"TFT5_Ivern","disname":"U2001043_TFT5_Ivern_3","type":5,"block":6,"hp":950},{"name":"TFT5_Heimerdinger","disname":"U2001108_TFT5_Heimerdinger_12","type":5,"block":6,"hp":800},{"name":"TFT5_Garen","disname":"U2001132_TFT5_Garen_6","type":5,"block":6,"hp":1350},{"name":"TFT5_HeimerTurret","disname":"U2001704_TFT5_HeimerTurret_11","type":5,"block":6,"hp":1000},{"name":"TFT5_Hecarim","disname":"U2000548_TFT5_Hecarim_1","type":5,"block":2,"hp":750}]}</t>
  </si>
  <si>
    <t>{"success":true,"code":200,"msg":"鎴愬姛","data":[{"isme":true,"zt":5,"fit":0,"name":"TFTChampion","disname":"AlphaChess","type":3,"block":8,"hp":100},{"fit":1,"name":"TFTChampion","disname":"鍧戞槸涓€镙峰闂?,"type":3,"block":7,"hp":88},{"fit":0,"name":"TFTChampion","disname":"鍒€鍓戝嬁鎯?,"type":3,"block":5,"hp":96},{"fit":0,"name":"TFTChampion","disname":"娴佸姩琛ヨ儙鍏佛宁埚倕","type":3,"block":2,"hp":92},{"fit":0,"name":"TFTChampion","disname":"娆у姏板呭壊","type":3,"block":1,"hp":94},{"fit":1,"name":"TFTChampion","disname":"姗桦瓙寰埚汹","type":3,"block":0,"hp":94},{"fit":1,"name":"TFTChampion","disname":"链卞彝锷涚敎鐢滃湀","type":3,"block":3,"hp":90},{"fit":0,"name":"TFTChampion","disname":"鍟ユ椂炼欎笂凿滃晩","type":3,"block":6,"hp":100},{"name":"TFT5_Nocturne","disname":"U2000944_TFT5_Nocturne_1","type":5,"block":7,"hp":650},{"name":"TFT5_Khazix","disname":"U2000222_TFT5_Khazix_1","type":5,"block":0,"hp":500},{"name":"TFT5_Syndra","disname":"U2000506_TFT5_Syndra_1","type":5,"block":6,"hp":600},{"name":"TFT5_Hecarim","disname":"U2000546_TFT5_Hecarim_1","type":5,"block":5,"hp":750},{"name":"TFT5_Syndra","disname":"U2000504_TFT5_Syndra_1","type":5,"block":5,"hp":600},{"name":"TFT5_Syndra","disname":"U2000510_TFT5_Syndra_1","type":5,"block":1,"hp":600},{"name":"TFT5_Hecarim","disname":"U2000554_TFT5_Hecarim_1","type":5,"block":3,"hp":750},{"name":"TFT5_Khazix","disname":"U2000239_TFT5_Khazix_2","type":5,"block":8,"hp":500},{"name":"TFT5_Gragas","disname":"U2000319_TFT5_Gragas_3","type":5,"block":8,"hp":750},{"name":"TFT5_Kennen","disname":"U2000622_TFT5_Kennen_3","type":5,"block":0,"hp":600},{"name":"TFT5_Kled","disname":"U2000275_TFT5_Kled_1","type":5,"block":0,"hp":400},{"name":"TFT5_Ziggs","disname":"U2000361_TFT5_Ziggs_1","type":5,"block":1,"hp":810},{"name":"TFT5_Poppy","disname":"U2000299_TFT5_Poppy_1","type":5,"block":5,"hp":600},{"name":"TFT5_Kalista","disname":"U2000446_TFT5_Kalista_1","type":5,"block":7,"hp":500},{"name":"TFT5_Leona","disname":"U2000133_TFT5_Leona_1","type":5,"block":1,"hp":700},{"name":"TFT5_Aatrox","disname":"U2000075_TFT5_Aatrox_1","type":5,"block":1,"hp":650},{"name":"TFT5_Gragas","disname":"U2000315_TFT5_Gragas_4","type":5,"block":7,"hp":1750},{"name":"TFT5_Poppy","disname":"U2000284_TFT5_Poppy_4","type":5,"block":5,"hp":600},{"name":"TFT5_Ziggs","disname":"U2000354_TFT5_Ziggs_4","type":5,"block":3,"hp":450},{"name":"TFT5_Aatrox","disname":"U2000096_TFT5_Aatrox_2","type":5,"block":6,"hp":650},{"name":"TFT5_Irelia","disname":"U2000708_TFT5_Irelia_3","type":5,"block":6,"hp":750},{"name":"TFT5_Hecarim","disname":"U2000549_TFT5_Hecarim_1","type":5,"block":0,"hp":750},{"name":"TFT5_Vayne","disname":"U2000119_TFT5_Vayne_1","type":5,"block":5,"hp":500},{"name":"TFT5_Leona","disname":"U2000153_TFT5_Leona_1","type":5,"block":1,"hp":700},{"name":"TFT5_Vayne","disname":"U2000113_TFT5_Vayne_1","type":5,"block":5,"hp":500},{"name":"TFT5_Leona","disname":"U2000150_TFT5_Leona_1","type":5,"block":8,"hp":700},{"name":"TFT5_Hecarim","disname":"U2000550_TFT5_Hecarim_1","type":5,"block":7,"hp":750},{"name":"TFT5_Aatrox","disname":"U2000083_TFT5_Aatrox_1","type":5,"block":2,"hp":650},{"name":"TFT5_Nautilus","disname":"U2000641_TFT5_Nautilus_1","type":5,"block":0,"hp":750},{"name":"TFT5_Vladimir","disname":"U2000190_TFT5_Vladimir_1","type":5,"block":6,"hp":650},{"name":"TFT5_Kled","disname":"U2000269_TFT5_Kled_1","type":5,"block":1,"hp":400},{"name":"TFT5_Thresh","disname":"U2000651_TFT5_Thresh_1","type":5,"block":3,"hp":800},{"name":"TFT5_Senna","disname":"U2000363_TFT5_Senna_8","type":5,"block":7,"hp":500},{"name":"TFT5_Soraka","disname":"U2000492_TFT5_Soraka_5","type":5,"block":7,"hp":550},{"name":"TFT5_Sejuani","disname":"U2000585_TFT5_Sejuani_3","type":5,"block":7,"hp":1150},{"name":"TFT5_Leona","disname":"U2000136_TFT5_Leona_4","type":5,"block":8,"hp":700},{"name":"TFT5_Varus","disname":"U2000454_TFT5_Varus_4","type":5,"block":8,"hp":600},{"name":"TFT5_Syndra","disname":"U2000500_TFT5_Syndra_4","type":5,"block":8,"hp":600},{"name":"TFT5_Nautilus","disname":"U2000639_TFT5_Nautilus_4","type":5,"block":8,"hp":750},{"name":"TFT5_Aatrox","disname":"U2000084_TFT5_Aatrox_4","type":5,"block":5,"hp":1170},{"name":"TFT5_Vayne","disname":"U2000102_TFT5_Vayne_7","type":5,"block":5,"hp":900},{"name":"TFT5_Hecarim","disname":"U2000558_TFT5_Hecarim_2","type":5,"block":5,"hp":750},{"name":"TFT5_Olaf","disname":"U2000411_TFT5_Olaf_6","type":5,"block":2,"hp":1170},{"name":"TFT5_Brand","disname":"U2000532_TFT5_Brand_5","type":5,"block":2,"hp":600},{"name":"TFT5_Pyke","disname":"U2000565_TFT5_Pyke_6","type":5,"block":2,"hp":650},{"name":"TFT5_Vladimir","disname":"U2000194_TFT5_Vladimir_7","type":5,"block":1,"hp":1170},{"name":"TFT5_Poppy","disname":"U2000276_TFT5_Poppy_9","type":5,"block":1,"hp":600},{"name":"TFT5_Lulu","disname":"U2000778_TFT5_Lulu_5","type":5,"block":1,"hp":650},{"name":"TFT5_Gragas","disname":"U2000307_TFT5_Gragas_5","type":5,"block":0,"hp":1150},{"name":"TFT5_Sejuani","disname":"U2000593_TFT5_Sejuani_5","type":5,"block":0,"hp":1150},{"name":"TFT5_Sett","disname":"U2000673_TFT5_Sett_5","type":5,"block":0,"hp":1150},{"name":"TFT5_Ziggs","disname":"U2000357_TFT5_Ziggs_3","type":5,"block":3,"hp":450},{"name":"TFT5_Hecarim","disname":"U2000540_TFT5_Hecarim_5","type":5,"block":3,"hp":750},{"name":"TFT5_Sejuani","disname":"U2000603_TFT5_Sejuani_4","type":5,"block":3,"hp":750},{"name":"TFT5_Thresh","disname":"U2000655_TFT5_Thresh_3","type":5,"block":3,"hp":800},{"name":"TFT5_Kled","disname":"U2000257_TFT5_Kled_5","type":5,"block":6,"hp":400},{"name":"TFT5_Poppy","disname":"U2000281_TFT5_Poppy_5","type":5,"block":6,"hp":600},{"name":"TFT5_Sejuani","disname":"U2000600_TFT5_Sejuani_2","type":5,"block":6,"hp":750},{"name":"TFT5_Yasuo","disname":"U2000900_TFT5_Yasuo_2","type":5,"block":6,"hp":800},{"name":"TFT5_Syndra","disname":"U2000502_TFT5_Syndra_1","type":5,"block":8,"hp":600},{"name":"TFT5_Vayne","disname":"U2000128_TFT5_Vayne_1","type":5,"block":3,"hp":500},{"name":"TFT5_Sejuani","disname":"U2000584_TFT5_Sejuani_1","type":5,"block":0,"hp":750},{"name":"TFT5_Poppy","disname":"U2000292_TFT5_Poppy_1","type":5,"block":1,"hp":600},{"name":"TFT5_Aatrox","disname":"U2000097_TFT5_Aatrox_1","type":5,"block":5,"hp":650},{"name":"TFT5_Pyke","disname":"U2000574_TFT5_Pyke_1","type":5,"block":2,"hp":650}]}</t>
  </si>
  <si>
    <t>梦魇瑞文亚索帕克瞎子 为什么不上</t>
  </si>
  <si>
    <t>긿떒ꪷ㾗涬듮_xDE3F_鏘ꆴ뫝㿴찿ꢡ㽒曑䪣뫶錿걼ꆋ诔藲듂迴욈첬ꫵ㾓슅袏䦑떜_xDDA1_㼿㼿讬ﯤ㼿㼿粇綵꾔蔿듂迴鎈첟跘綘</t>
  </si>
  <si>
    <t>{"success":true,"code":200,"msg":"鎴愬姛","data":["TFT5_Kalista","TFT5_Nautilus","TFT5_Ziggs","TFT5_Kalista","TFT5_Senna"]}</t>
  </si>
  <si>
    <t>{"success":true,"code":200,"msg":"鎴愬姛","data":[{"isme":true,"zt":5,"fit":0,"name":"TFTChampion","disname":"AlphaChess","type":3,"block":3,"hp":18},{"fit":0,"name":"TFTChampion","disname":"鍝ュ摜鍒墦鎴戞€?,"type":3,"block":7,"hp":20},{"fit":1,"name":"TFTChampion","disname":"鐏甸瓊bair浣?,"type":3,"block":8,"hp":20},{"fit":0,"name":"TFTChampion","disname":"鍛靛懙鍛电伂鑰惰€惰€?,"type":3,"block":5,"hp":18},{"fit":0,"name":"TFTChampion","disname":"鎵瓙鏄福娓?,"type":3,"block":2,"hp":20},{"fit":0,"name":"TFTChampion","disname":"鎴戞妸鏃堕棿杩樼粰浣?,"type":3,"block":1,"hp":18},{"fit":0,"name":"TFTChampion","disname":"鐪熺殑鎴樻棤涓嶈儨","type":3,"block":0,"hp":18},{"fit":0,"name":"TFTChampion","disname":"aaaaaaaws","type":3,"block":6,"hp":20},{"name":"TFT5_Riven","disname":"U2000754_TFT5_Riven_1","type":5,"block":7,"hp":850},{"name":"TFT5_Soraka","disname":"U2000490_TFT5_Soraka_1","type":5,"block":1,"hp":550},{"name":"TFT5_Rakan","disname":"U2000816_TFT5_Rakan_1","type":5,"block":7,"hp":800},{"name":"TFT5_Udyr","disname":"U2000184_TFT5_Udyr_1","type":5,"block":0,"hp":700},{"name":"TFT5_Kalista","disname":"U2000435_TFT5_Kalista_1","type":5,"block":0,"hp":500},{"name":"TFT5_Khazix","disname":"U2000234_TFT5_Khazix_1","type":5,"block":0,"hp":500},{"name":"TFT5_Kalista","disname":"U2000441_TFT5_Kalista_1","type":5,"block":1,"hp":500},{"name":"TFT5_Aatrox","disname":"U2000083_TFT5_Aatrox_1","type":5,"block":2,"hp":650},{"name":"TFT5_Khazix","disname":"U2000226_TFT5_Khazix_1","type":5,"block":6,"hp":500},{"name":"TFT5_Olaf","disname":"U2000410_TFT5_Olaf_1","type":5,"block":5,"hp":650},{"name":"TFT5_Poppy","disname":"U2000282_TFT5_Poppy_1","type":5,"block":8,"hp":600},{"name":"TFT5_Poppy","disname":"U2000280_TFT5_Poppy_1","type":5,"block":8,"hp":600},{"name":"TFT5_Kled","disname":"U2000255_TFT5_Kled_1","type":5,"block":8,"hp":400},{"name":"TFT5_LeeSin","disname":"U2000756_TFT5_LeeSin_1","type":5,"block":0,"hp":850},{"name":"TFT5_Brand","disname":"U2000532_TFT5_Brand_1","type":5,"block":0,"hp":600},{"name":"TFT5_Soraka","disname":"U2000477_TFT5_Soraka_1","type":5,"block":6,"hp":550},{"name":"TFT5_Aatrox","disname":"U2000101_TFT5_Aatrox_1","type":5,"block":2,"hp":650},{"name":"TFT5_Udyr","disname":"U2000180_TFT5_Udyr_1","type":5,"block":1,"hp":700},{"name":"TFT5_Kalista","disname":"U2000446_TFT5_Kalista_1","type":5,"block":5,"hp":500},{"name":"TFT5_Leona","disname":"U2000151_TFT5_Leona_1","type":5,"block":0,"hp":700},{"name":"TFT5_Olaf","disname":"U2000403_TFT5_Olaf_1","type":5,"block":2,"hp":650},{"name":"TFT5_Brand","disname":"U2000531_TFT5_Brand_1","type":5,"block":7,"hp":600},{"name":"TFT5_Irelia","disname":"U2000695_TFT5_Irelia_1","type":5,"block":0,"hp":750},{"name":"TFT5_Olaf","disname":"U2000394_TFT5_Olaf_1","type":5,"block":2,"hp":650},{"name":"TFT5_Poppy","disname":"U2000294_TFT5_Poppy_1","type":5,"block":1,"hp":600},{"name":"TFT5_Sejuani","disname":"U2000585_TFT5_Sejuani_1","type":5,"block":8,"hp":750},{"name":"TFT5_Udyr","disname":"U2000160_TFT5_Udyr_6","type":5,"block":7,"hp":1260},{"name":"TFT5_Senna","disname":"U2000379_TFT5_Senna_3","type":5,"block":7,"hp":500},{"name":"TFT5_MissFortune","disname":"U2000926_TFT5_MissFortune_4","type":5,"block":7,"hp":700},{"name":"TFT5_Senna","disname":"U2000382_TFT5_Senna_4","type":5,"block":8,"hp":500},{"name":"TFT5_Olaf","disname":"U2000402_TFT5_Olaf_3","type":5,"block":8,"hp":650},{"name":"TFT5_Rakan","disname":"U2000810_TFT5_Rakan_3","type":5,"block":8,"hp":800},{"name":"TFT5_Poppy","disname":"U2000276_TFT5_Poppy_5","type":5,"block":5,"hp":600},{"name":"TFT5_Leona","disname":"U2000136_TFT5_Leona_2","type":5,"block":2,"hp":1410},{"name":"TFT5_Senna","disname":"U2000381_TFT5_Senna_3","type":5,"block":2,"hp":900},{"name":"TFT5_Varus","disname":"U2000457_TFT5_Varus_2","type":5,"block":2,"hp":600},{"name":"TFT5_Vayne","disname":"U2000115_TFT5_Vayne_4","type":5,"block":1,"hp":900},{"name":"TFT5_Hecarim","disname":"U2000556_TFT5_Hecarim_3","type":5,"block":1,"hp":750},{"name":"TFT5_Thresh","disname":"U2000661_TFT5_Thresh_4","type":5,"block":1,"hp":800},{"name":"TFT5_Leona","disname":"U2000144_TFT5_Leona_2","type":5,"block":0,"hp":700},{"name":"TFT5_Poppy","disname":"U2000299_TFT5_Poppy_2","type":5,"block":0,"hp":1080},{"name":"TFT5_Sett","disname":"U2000687_TFT5_Sett_2","type":5,"block":0,"hp":1750},{"name":"TFT5_Vladimir","disname":"U2000189_TFT5_Vladimir_5","type":5,"block":3,"hp":650},{"name":"TFT5_Khazix","disname":"U2000238_TFT5_Khazix_3","type":5,"block":6,"hp":500},{"name":"TFT5_Leona","disname":"U2000140_TFT5_Leona_1","type":5,"block":2,"hp":700},{"name":"TFT5_Kalista","disname":"U2000442_TFT5_Kalista_1","type":5,"block":1,"hp":500},{"name":"TFT5_Kalista","disname":"U2000434_TFT5_Kalista_1","type":5,"block":5,"hp":500},{"name":"TFT5_Udyr","disname":"U2000172_TFT5_Udyr_1","type":5,"block":8,"hp":700},{"name":"TFT5_Pyke","disname":"U2000564_TFT5_Pyke_1","type":5,"block":8,"hp":650},{"name":"TFT5_Olaf","disname":"U2000411_TFT5_Olaf_1","type":5,"block":7,"hp":650},{"name":"TFT5_Leona","disname":"U2000135_TFT5_Leona_1","type":5,"block":5,"hp":700},{"name":"TFT5_Olaf","disname":"U2000395_TFT5_Olaf_1","type":5,"block":7,"hp":650},{"name":"TFT5_Senna","disname":"U2000385_TFT5_Senna_1","type":5,"block":7,"hp":500},{"name":"TFT5_Leona","disname":"U2000149_TFT5_Leona_1","type":5,"block":5,"hp":700},{"name":"TFT5_Varus","disname":"U2000471_TFT5_Varus_1","type":5,"block":8,"hp":600},{"name":"TFT5_Varus","disname":"U2000466_TFT5_Varus_1","type":5,"block":5,"hp":600},{"name":"TFT5_Thresh","disname":"U2000651_TFT5_Thresh_1","type":5,"block":8,"hp":800}]}</t>
  </si>
  <si>
    <t>{"success":true,"code":200,"msg":"鎴愬姛","data":[{"isme":true,"zt":5,"fit":0,"name":"TFTChampion","disname":"AlphaChess","type":3,"block":3,"hp":18},{"fit":0,"name":"TFTChampion","disname":"鍝ュ摜鍒墦鎴戞€?,"type":3,"block":7,"hp":20},{"fit":1,"name":"TFTChampion","disname":"鐏甸瓊bair浣?,"type":3,"block":8,"hp":20},{"fit":0,"name":"TFTChampion","disname":"鍛靛懙鍛电伂鑰惰€惰€?,"type":3,"block":5,"hp":18},{"fit":0,"name":"TFTChampion","disname":"鎵瓙鏄福娓?,"type":3,"block":2,"hp":20},{"fit":0,"name":"TFTChampion","disname":"鎴戞妸鏃堕棿杩樼粰浣?,"type":3,"block":1,"hp":18},{"fit":0,"name":"TFTChampion","disname":"鐪熺殑鎴樻棤涓嶈儨","type":3,"block":0,"hp":18},{"fit":0,"name":"TFTChampion","disname":"aaaaaaaws","type":3,"block":6,"hp":20},{"name":"TFT5_Riven","disname":"U2000754_TFT5_Riven_1","type":5,"block":7,"hp":850},{"name":"TFT5_Soraka","disname":"U2000490_TFT5_Soraka_1","type":5,"block":1,"hp":550},{"name":"TFT5_Rakan","disname":"U2000816_TFT5_Rakan_1","type":5,"block":7,"hp":800},{"name":"TFT5_Udyr","disname":"U2000184_TFT5_Udyr_1","type":5,"block":0,"hp":700},{"name":"TFT5_Kalista","disname":"U2000435_TFT5_Kalista_1","type":5,"block":0,"hp":500},{"name":"TFT5_Khazix","disname":"U2000234_TFT5_Khazix_1","type":5,"block":0,"hp":500},{"name":"TFT5_Kalista","disname":"U2000441_TFT5_Kalista_1","type":5,"block":1,"hp":500},{"name":"TFT5_Aatrox","disname":"U2000083_TFT5_Aatrox_1","type":5,"block":2,"hp":650},{"name":"TFT5_Khazix","disname":"U2000226_TFT5_Khazix_1","type":5,"block":6,"hp":500},{"name":"TFT5_Olaf","disname":"U2000410_TFT5_Olaf_1","type":5,"block":5,"hp":650},{"name":"TFT5_Poppy","disname":"U2000282_TFT5_Poppy_1","type":5,"block":8,"hp":600},{"name":"TFT5_Poppy","disname":"U2000280_TFT5_Poppy_1","type":5,"block":8,"hp":600},{"name":"TFT5_Kled","disname":"U2000255_TFT5_Kled_1","type":5,"block":8,"hp":400},{"name":"TFT5_LeeSin","disname":"U2000756_TFT5_LeeSin_1","type":5,"block":0,"hp":850},{"name":"TFT5_Brand","disname":"U2000532_TFT5_Brand_1","type":5,"block":0,"hp":600},{"name":"TFT5_Soraka","disname":"U2000477_TFT5_Soraka_1","type":5,"block":6,"hp":550},{"name":"TFT5_Aatrox","disname":"U2000101_TFT5_Aatrox_1","type":5,"block":2,"hp":650},{"name":"TFT5_Udyr","disname":"U2000180_TFT5_Udyr_1","type":5,"block":1,"hp":700},{"name":"TFT5_Kalista","disname":"U2000446_TFT5_Kalista_1","type":5,"block":5,"hp":500},{"name":"TFT5_Leona","disname":"U2000151_TFT5_Leona_1","type":5,"block":0,"hp":700},{"name":"TFT5_Olaf","disname":"U2000403_TFT5_Olaf_1","type":5,"block":2,"hp":650},{"name":"TFT5_Brand","disname":"U2000531_TFT5_Brand_1","type":5,"block":7,"hp":600},{"name":"TFT5_Irelia","disname":"U2000695_TFT5_Irelia_1","type":5,"block":0,"hp":750},{"name":"TFT5_Olaf","disname":"U2000394_TFT5_Olaf_1","type":5,"block":2,"hp":650},{"name":"TFT5_Poppy","disname":"U2000294_TFT5_Poppy_1","type":5,"block":1,"hp":600},{"name":"TFT5_Sejuani","disname":"U2000585_TFT5_Sejuani_1","type":5,"block":8,"hp":750},{"name":"TFT5_Udyr","disname":"U2000160_TFT5_Udyr_6","type":5,"block":7,"hp":1260},{"name":"TFT5_Senna","disname":"U2000379_TFT5_Senna_3","type":5,"block":7,"hp":500},{"name":"TFT5_MissFortune","disname":"U2000926_TFT5_MissFortune_4","type":5,"block":7,"hp":700},{"name":"TFT5_Senna","disname":"U2000382_TFT5_Senna_4","type":5,"block":8,"hp":500},{"name":"TFT5_Olaf","disname":"U2000402_TFT5_Olaf_3","type":5,"block":8,"hp":650},{"name":"TFT5_Rakan","disname":"U2000810_TFT5_Rakan_3","type":5,"block":8,"hp":800},{"name":"TFT5_Poppy","disname":"U2000276_TFT5_Poppy_5","type":5,"block":5,"hp":600},{"name":"TFT5_Leona","disname":"U2000136_TFT5_Leona_2","type":5,"block":2,"hp":1410},{"name":"TFT5_Senna","disname":"U2000381_TFT5_Senna_3","type":5,"block":2,"hp":900},{"name":"TFT5_Varus","disname":"U2000457_TFT5_Varus_2","type":5,"block":2,"hp":600},{"name":"TFT5_Vayne","disname":"U2000115_TFT5_Vayne_4","type":5,"block":1,"hp":900},{"name":"TFT5_Hecarim","disname":"U2000556_TFT5_Hecarim_3","type":5,"block":1,"hp":750},{"name":"TFT5_Thresh","disname":"U2000661_TFT5_Thresh_4","type":5,"block":1,"hp":800},{"name":"TFT5_Leona","disname":"U2000144_TFT5_Leona_2","type":5,"block":0,"hp":700},{"name":"TFT5_Poppy","disname":"U2000299_TFT5_Poppy_2","type":5,"block":0,"hp":1080},{"name":"TFT5_Sett","disname":"U2000687_TFT5_Sett_2","type":5,"block":0,"hp":1750},{"name":"TFT5_Vladimir","disname":"U2000189_TFT5_Vladimir_5","type":5,"block":3,"hp":650},{"name":"TFT5_Khazix","disname":"U2000238_TFT5_Khazix_3","type":5,"block":6,"hp":500},{"name":"TFT5_Leona","disname":"U2000140_TFT5_Leona_1","type":5,"block":2,"hp":700},{"name":"TFT5_Kalista","disname":"U2000442_TFT5_Kalista_1","type":5,"block":1,"hp":500},{"name":"TFT5_Kalista","disname":"U2000434_TFT5_Kalista_1","type":5,"block":5,"hp":500},{"name":"TFT5_Udyr","disname":"U2000172_TFT5_Udyr_1","type":5,"block":8,"hp":700},{"name":"TFT5_Pyke","disname":"U2000564_TFT5_Pyke_1","type":5,"block":8,"hp":650},{"name":"TFT5_Olaf","disname":"U2000411_TFT5_Olaf_1","type":5,"block":7,"hp":650},{"name":"TFT5_Leona","disname":"U2000135_TFT5_Leona_1","type":5,"block":5,"hp":700},{"name":"TFT5_Olaf","disname":"U2000395_TFT5_Olaf_1","type":5,"block":7,"hp":650},{"name":"TFT5_Senna","disname":"U2000385_TFT5_Senna_1","type":5,"block":7,"hp":500},{"name":"TFT5_Leona","disname":"U2000149_TFT5_Leona_1","type":5,"block":5,"hp":700},{"name":"TFT5_Varus","disname":"U2000471_TFT5_Varus_1","type":5,"block":8,"hp":600},{"name":"TFT5_Varus","disname":"U2000466_TFT5_Varus_1","type":5,"block":5,"hp":600},{"name":"TFT5_Thresh","disname":"U2000651_TFT5_Thresh_1","type":5,"block":8,"hp":800},{"name":"TFT5_Sejuani","disname":"U2000595_TFT5_Sejuani_1","type":5,"block":8,"hp":750}]}</t>
  </si>
  <si>
    <t>?畳捣獥?琺畲?挢摯≥呼??獭≧?裦龊?搢瑡≡嬺吢呆張牂湡≤???卟瑥????噟祡敮?吢呆張敓瑴?吢呆張態楬瑳≡絝</t>
  </si>
  <si>
    <t>{"success":true,"code":200,"msg":"鎴愬姛","data":[{"isme":true,"zt":5,"fit":0,"name":"TFTChampion","disname":"AlphaChess","type":3,"block":3,"hp":14},{"fit":1,"name":"TFTChampion","disname":"鍝ュ摜鍒墦鎴戞€?,"type":3,"block":7,"hp":20},{"fit":1,"name":"TFTChampion","disname":"鐏甸瓊bair浣?,"type":3,"block":8,"hp":18},{"fit":1,"name":"TFTChampion","disname":"鍛靛懙鍛电伂鑰惰€惰€?,"type":3,"block":5,"hp":18},{"fit":0,"name":"TFTChampion","disname":"鎵瓙鏄福娓?,"type":3,"block":2,"hp":16},{"fit":0,"name":"TFTChampion","disname":"鎴戞妸鏃堕棿杩樼粰浣?,"type":3,"block":1,"hp":14},{"fit":0,"name":"TFTChampion","disname":"鐪熺殑鎴樻棤涓嶈儨","type":3,"block":0,"hp":18},{"fit":0,"name":"TFTChampion","disname":"aaaaaaaws","type":3,"block":6,"hp":18},{"name":"TFT5_Rakan","disname":"U2000816_TFT5_Rakan_1","type":5,"block":7,"hp":800},{"name":"TFT5_Kalista","disname":"U2000446_TFT5_Kalista_1","type":5,"block":5,"hp":500},{"name":"TFT5_Olaf","disname":"U2000403_TFT5_Olaf_1","type":5,"block":2,"hp":650},{"name":"TFT5_Brand","disname":"U2000531_TFT5_Brand_1","type":5,"block":7,"hp":600},{"name":"TFT5_Olaf","disname":"U2000394_TFT5_Olaf_1","type":5,"block":2,"hp":650},{"name":"TFT5_Senna","disname":"U2000381_TFT5_Senna_3","type":5,"block":2,"hp":900},{"name":"TFT5_Leona","disname":"U2000140_TFT5_Leona_1","type":5,"block":2,"hp":700},{"name":"TFT5_Udyr","disname":"U2000172_TFT5_Udyr_1","type":5,"block":8,"hp":700},{"name":"TFT5_Leona","disname":"U2000135_TFT5_Leona_1","type":5,"block":5,"hp":700},{"name":"TFT5_Senna","disname":"U2000385_TFT5_Senna_1","type":5,"block":7,"hp":500},{"name":"TFT5_Brand","disname":"U2000523_TFT5_Brand_1","type":5,"block":7,"hp":600},{"name":"TFT5_Olaf","disname":"U2000405_TFT5_Olaf_1","type":5,"block":0,"hp":650},{"name":"TFT5_Leona","disname":"U2000137_TFT5_Leona_1","type":5,"block":2,"hp":700},{"name":"TFT5_Khazix","disname":"U2000236_TFT5_Khazix_1","type":5,"block":6,"hp":500},{"name":"TFT5_Senna","disname":"U2000363_TFT5_Senna_1","type":5,"block":8,"hp":500},{"name":"TFT5_Olaf","disname":"U2000392_TFT5_Olaf_1","type":5,"block":8,"hp":650},{"name":"TFT5_Varus","disname":"U2000463_TFT5_Varus_1","type":5,"block":8,"hp":600},{"name":"TFT5_Udyr","disname":"U2000163_TFT5_Udyr_1","type":5,"block":8,"hp":700},{"name":"TFT5_Udyr","disname":"U2000188_TFT5_Udyr_1","type":5,"block":1,"hp":700},{"name":"TFT5_Sett","disname":"U2000676_TFT5_Sett_1","type":5,"block":7,"hp":750},{"name":"TFT5_Pyke","disname":"U2000567_TFT5_Pyke_1","type":5,"block":7,"hp":650},{"name":"TFT5_Varus","disname":"U2000467_TFT5_Varus_1","type":5,"block":5,"hp":600},{"name":"TFT5_LeeSin","disname":"U2000770_TFT5_LeeSin_1","type":5,"block":2,"hp":850},{"name":"TFT5_Udyr","disname":"U2000160_TFT5_Udyr_8","type":5,"block":7,"hp":1260},{"name":"TFT5_Senna","disname":"U2000379_TFT5_Senna_5","type":5,"block":7,"hp":500},{"name":"TFT5_Olaf","disname":"U2000407_TFT5_Olaf_2","type":5,"block":7,"hp":1170},{"name":"TFT5_Irelia","disname":"U2000699_TFT5_Irelia_2","type":5,"block":7,"hp":750},{"name":"TFT5_Senna","disname":"U2000382_TFT5_Senna_8","type":5,"block":8,"hp":500},{"name":"TFT5_Olaf","disname":"U2000402_TFT5_Olaf_7","type":5,"block":8,"hp":1170},{"name":"TFT5_Pyke","disname":"U2000564_TFT5_Pyke_3","type":5,"block":8,"hp":650},{"name":"TFT5_Rakan","disname":"U2000810_TFT5_Rakan_7","type":5,"block":8,"hp":800},{"name":"TFT5_Leona","disname":"U2000149_TFT5_Leona_3","type":5,"block":5,"hp":700},{"name":"TFT5_Poppy","disname":"U2000276_TFT5_Poppy_7","type":5,"block":5,"hp":600},{"name":"TFT5_Kalista","disname":"U2000434_TFT5_Kalista_2","type":5,"block":5,"hp":500},{"name":"TFT5_Varus","disname":"U2000466_TFT5_Varus_3","type":5,"block":5,"hp":600},{"name":"TFT5_Aatrox","disname":"U2000101_TFT5_Aatrox_5","type":5,"block":2,"hp":1170},{"name":"TFT5_Vayne","disname":"U2000109_TFT5_Vayne_3","type":5,"block":2,"hp":500},{"name":"TFT5_Leona","disname":"U2000136_TFT5_Leona_6","type":5,"block":2,"hp":1410},{"name":"TFT5_Varus","disname":"U2000457_TFT5_Varus_6","type":5,"block":2,"hp":600},{"name":"TFT5_Udyr","disname":"U2000180_TFT5_Udyr_2","type":5,"block":1,"hp":700},{"name":"TFT5_Sett","disname":"U2000677_TFT5_Sett_2","type":5,"block":1,"hp":1750},{"name":"TFT5_Ashe","disname":"U2000833_TFT5_Ashe_2","type":5,"block":1,"hp":550},{"name":"TFT5_Nunu","disname":"U2000876_TFT5_Nunu_2","type":5,"block":1,"hp":1300},{"name":"TFT5_Udyr","disname":"U2000184_TFT5_Udyr_4","type":5,"block":0,"hp":2260},{"name":"TFT5_Olaf","disname":"U2000399_TFT5_Olaf_3","type":5,"block":0,"hp":650},{"name":"TFT5_Irelia","disname":"U2000695_TFT5_Irelia_4","type":5,"block":0,"hp":1350},{"name":"TFT5_LeeSin","disname":"U2000756_TFT5_LeeSin_4","type":5,"block":0,"hp":850},{"name":"TFT5_Vladimir","disname":"U2000189_TFT5_Vladimir_9","type":5,"block":3,"hp":650},{"name":"TFT5_Khazix","disname":"U2000238_TFT5_Khazix_5","type":5,"block":6,"hp":900},{"name":"TFT5_Gragas","disname":"U2000319_TFT5_Gragas_2","type":5,"block":6,"hp":750},{"name":"TFT5_Soraka","disname":"U2000477_TFT5_Soraka_3","type":5,"block":6,"hp":550},{"name":"TFT5_Riven","disname":"U2000750_TFT5_Riven_2","type":5,"block":6,"hp":850},{"name":"TFT5_DraconicEgg","disname":"U2001277_TFT5_DraconicEgg_1","type":5,"block":1,"hp":1},{"name":"TFT5_Udyr","disname":"U2000175_TFT5_Udyr_1","type":5,"block":0,"hp":700},{"name":"TFT5_Irelia","disname":"U2000704_TFT5_Irelia_1","type":5,"block":0,"hp":750},{"name":"TFT5_Olaf","disname":"U2000415_TFT5_Olaf_1","type":5,"block":8,"hp":650},{"name":"TFT5_Kalista","disname":"U2000428_TFT5_Kalista_1","type":5,"block":1,"hp":900},{"name":"TFT5_Brand","disname":"U2000518_TFT5_Brand_1","type":5,"block":1,"hp":600},{"name":"TFT5_Gragas","disname":"U2000324_TFT5_Gragas_1","type":5,"block":6,"hp":750}]}</t>
  </si>
  <si>
    <t>？畳捣獥？琺畲？挢摯≥呼？？獭≧？裦龊？搢瑡≡嬺吢呆張牂湡≤？？？卟瑥？？？？噟祡敮？吢呆張敓瑴？吢呆張態楬瑳≡絝</t>
  </si>
  <si>
    <t>?畳捣獥?琺畲?挢摯≥呼??獭≧?裦龊?搢瑡≡嬺???????絝</t>
  </si>
  <si>
    <t>{"success":true,"code":200,"msg":"鎴愬姛","data":["TFT5_Udyr","TFT5_Kled","TFT5_Thresh","TFT5_Vayne","TFT5_Thresh"]}</t>
  </si>
  <si>
    <t>{"success":true,"code":200,"msg":"鎴愬姛","data":[{"isme":true,"zt":5,"fit":0,"name":"TFTChampion","disname":"AlphaChess","type":3,"block":7,"hp":16},{"fit":0,"name":"TFTChampion","disname":"缇借惤闄?,"type":3,"block":8,"hp":18},{"fit":0,"name":"TFTChampion","disname":"涓嶈绔归┈鐏€惧煄鎭?,"type":3,"block":5,"hp":16},{"fit":0,"name":"TFTChampion","disname":"鍗胯惤闆ㄨ３鏌撹瀛ゅ煄","type":3,"block":2,"hp":20},{"fit":0,"name":"TFTChampion","disname":"娌ф捣涓ㄧ瑧","type":3,"block":1,"hp":18},{"fit":0,"name":"TFTChampion","disname":"娉拌偗鐡﹀皵鍏?,"type":3,"block":0,"hp":18},{"fit":1,"name":"TFTChampion","disname":"鍨傛鐥呭鎯婂崸璧?,"type":3,"block":3,"hp":20},{"fit":1,"name":"TFTChampion","disname":"鏄庡ぉ鐨勬棆寰?,"type":3,"block":6,"hp":18},{"name":"TFT5_Soraka","disname":"U2000477_TFT5_Soraka_1","type":5,"block":5,"hp":550},{"name":"TFT5_Aatrox","disname":"U2000092_TFT5_Aatrox_1","type":5,"block":0,"hp":650},{"name":"TFT5_Vladimir","disname":"U2000215_TFT5_Vladimir_1","type":5,"block":1,"hp":650},{"name":"TFT5_Vladimir","disname":"U2000195_TFT5_Vladimir_1","type":5,"block":1,"hp":650},{"name":"TFT5_Nautilus","disname":"U2000648_TFT5_Nautilus_1","type":5,"block":2,"hp":750},{"name":"TFT5_Zyra","disname":"U2000850_TFT5_Zyra_1","type":5,"block":5,"hp":600},{"name":"TFT5_Kalista","disname":"U2000434_TFT5_Kalista_1","type":5,"block":3,"hp":900},{"name":"TFT5_Brand","disname":"U2000532_TFT5_Brand_1","type":5,"block":2,"hp":600},{"name":"TFT5_Kalista","disname":"U2000445_TFT5_Kalista_1","type":5,"block":2,"hp":500},{"name":"TFT5_Kalista","disname":"U2000421_TFT5_Kalista_4","type":5,"block":2,"hp":500},{"name":"TFT5_Leona","disname":"U2000134_TFT5_Leona_1","type":5,"block":8,"hp":700},{"name":"TFT5_Tristana","disname":"U2000724_TFT5_Tristana_1","type":5,"block":6,"hp":550},{"name":"TFT5_Gragas","disname":"U2000331_TFT5_Gragas_1","type":5,"block":1,"hp":750},{"name":"TFT5_Soraka","disname":"U2000481_TFT5_Soraka_1","type":5,"block":1,"hp":550},{"name":"TFT5_Varus","disname":"U2000461_TFT5_Varus_1","type":5,"block":8,"hp":600},{"name":"TFT5_Vayne","disname":"U2000119_TFT5_Vayne_1","type":5,"block":1,"hp":500},{"name":"TFT5_Leona","disname":"U2000158_TFT5_Leona_1","type":5,"block":5,"hp":1260},{"name":"TFT5_Khazix","disname":"U2000233_TFT5_Khazix_1","type":5,"block":5,"hp":500},{"name":"TFT5_Brand","disname":"U2000533_TFT5_Brand_1","type":5,"block":2,"hp":600},{"name":"TFT5_Senna","disname":"U2000363_TFT5_Senna_6","type":5,"block":7,"hp":500},{"name":"TFT5_Aatrox","disname":"U2000089_TFT5_Aatrox_2","type":5,"block":8,"hp":1170},{"name":"TFT5_Leona","disname":"U2000154_TFT5_Leona_2","type":5,"block":8,"hp":700},{"name":"TFT5_Syndra","disname":"U2000513_TFT5_Syndra_3","type":5,"block":8,"hp":1080},{"name":"TFT5_Vayne","disname":"U2000117_TFT5_Vayne_2","type":5,"block":5,"hp":500},{"name":"TFT5_Gragas","disname":"U2000306_TFT5_Gragas_2","type":5,"block":5,"hp":1500},{"name":"TFT5_Varus","disname":"U2000452_TFT5_Varus_4","type":5,"block":5,"hp":1080},{"name":"TFT5_Leona","disname":"U2000142_TFT5_Leona_5","type":5,"block":2,"hp":1260},{"name":"TFT5_Khazix","disname":"U2000230_TFT5_Khazix_3","type":5,"block":2,"hp":900},{"name":"TFT5_Nautilus","disname":"U2000635_TFT5_Nautilus_5","type":5,"block":2,"hp":750},{"name":"TFT5_Khazix","disname":"U2000243_TFT5_Khazix_5","type":5,"block":1,"hp":900},{"name":"TFT5_Gragas","disname":"U2000316_TFT5_Gragas_4","type":5,"block":1,"hp":750},{"name":"TFT5_Nidalee","disname":"U2000883_TFT5_Nidalee_4","type":5,"block":1,"hp":800},{"name":"TFT5_Aatrox","disname":"U2000087_TFT5_Aatrox_4","type":5,"block":0,"hp":650},{"name":"TFT5_Leona","disname":"U2000131_TFT5_Leona_7","type":5,"block":0,"hp":700},{"name":"TFT5_Varus","disname":"U2000454_TFT5_Varus_5","type":5,"block":0,"hp":600},{"name":"TFT5_Kalista","disname":"U2000447_TFT5_Kalista_5","type":5,"block":3,"hp":900},{"name":"TFT5_Brand","disname":"U2000522_TFT5_Brand_5","type":5,"block":3,"hp":600},{"name":"TFT5_Nunu","disname":"U2000870_TFT5_Nunu_6","type":5,"block":3,"hp":900},{"name":"TFT5_Senna","disname":"U2000383_TFT5_Senna_6","type":5,"block":6,"hp":500},{"name":"TFT5_Tristana","disname":"U2000723_TFT5_Tristana_5","type":5,"block":6,"hp":550},{"name":"TFT5_Lux","disname":"U2000792_TFT5_Lux_5","type":5,"block":6,"hp":600},{"name":"TFT5_Syndra","disname":"U2000497_TFT5_Syndra_1","type":5,"block":0,"hp":600},{"name":"TFT5_Nidalee","disname":"U2000898_TFT5_Nidalee_1","type":5,"block":2,"hp":800},{"name":"TFT5_Vayne","disname":"U2000125_TFT5_Vayne_1","type":5,"block":5,"hp":500},{"name":"TFT5_Nocturne","disname":"U2000951_TFT5_Nocturne_1","type":5,"block":3,"hp":650},{"name":"TFT5_Udyr","disname":"U2000186_TFT5_Udyr_1","type":5,"block":5,"hp":700},{"name":"TFT5_Soraka","disname":"U2000493_TFT5_Soraka_1","type":5,"block":5,"hp":550},{"name":"TFT5_Aatrox","disname":"U2000095_TFT5_Aatrox_1","type":5,"block":5,"hp":650},{"name":"TFT5_Senna","disname":"U2000371_TFT5_Senna_1","type":5,"block":6,"hp":500}]}</t>
  </si>
  <si>
    <t>{"success":true,"code":200,"msg":"鎴愬姛","data":[{"isme":true,"zt":5,"fit":0,"name":"TFTChampion","disname":"AlphaChess","type":3,"block":7,"hp":16},{"fit":0,"name":"TFTChampion","disname":"缇借惤闄?,"type":3,"block":8,"hp":18},{"fit":0,"name":"TFTChampion","disname":"涓嶈绔归┈鐏€惧煄鎭?,"type":3,"block":5,"hp":16},{"fit":0,"name":"TFTChampion","disname":"鍗胯惤闆ㄨ３鏌撹瀛ゅ煄","type":3,"block":2,"hp":20},{"fit":0,"name":"TFTChampion","disname":"娌ф捣涓ㄧ瑧","type":3,"block":1,"hp":18},{"fit":0,"name":"TFTChampion","disname":"娉拌偗鐡﹀皵鍏?,"type":3,"block":0,"hp":18},{"fit":1,"name":"TFTChampion","disname":"鍨傛鐥呭鎯婂崸璧?,"type":3,"block":3,"hp":20},{"fit":1,"name":"TFTChampion","disname":"鏄庡ぉ鐨勬棆寰?,"type":3,"block":6,"hp":18},{"name":"TFT5_Aatrox","disname":"U2000092_TFT5_Aatrox_1","type":5,"block":0,"hp":650},{"name":"TFT5_Vladimir","disname":"U2000215_TFT5_Vladimir_1","type":5,"block":1,"hp":650},{"name":"TFT5_Vladimir","disname":"U2000195_TFT5_Vladimir_1","type":5,"block":1,"hp":650},{"name":"TFT5_Nautilus","disname":"U2000648_TFT5_Nautilus_1","type":5,"block":2,"hp":750},{"name":"TFT5_Zyra","disname":"U2000850_TFT5_Zyra_1","type":5,"block":5,"hp":600},{"name":"TFT5_Kalista","disname":"U2000434_TFT5_Kalista_1","type":5,"block":3,"hp":900},{"name":"TFT5_Brand","disname":"U2000532_TFT5_Brand_1","type":5,"block":2,"hp":600},{"name":"TFT5_Kalista","disname":"U2000445_TFT5_Kalista_1","type":5,"block":2,"hp":500},{"name":"TFT5_Kalista","disname":"U2000421_TFT5_Kalista_4","type":5,"block":2,"hp":500},{"name":"TFT5_Leona","disname":"U2000134_TFT5_Leona_1","type":5,"block":8,"hp":700},{"name":"TFT5_Tristana","disname":"U2000724_TFT5_Tristana_1","type":5,"block":6,"hp":550},{"name":"TFT5_Gragas","disname":"U2000331_TFT5_Gragas_1","type":5,"block":1,"hp":750},{"name":"TFT5_Soraka","disname":"U2000481_TFT5_Soraka_1","type":5,"block":1,"hp":550},{"name":"TFT5_Varus","disname":"U2000461_TFT5_Varus_1","type":5,"block":8,"hp":600},{"name":"TFT5_Vayne","disname":"U2000119_TFT5_Vayne_1","type":5,"block":1,"hp":500},{"name":"TFT5_Leona","disname":"U2000158_TFT5_Leona_1","type":5,"block":5,"hp":1260},{"name":"TFT5_Brand","disname":"U2000533_TFT5_Brand_1","type":5,"block":2,"hp":600},{"name":"TFT5_Senna","disname":"U2000363_TFT5_Senna_6","type":5,"block":7,"hp":500},{"name":"TFT5_Aatrox","disname":"U2000089_TFT5_Aatrox_2","type":5,"block":8,"hp":1170},{"name":"TFT5_Leona","disname":"U2000154_TFT5_Leona_2","type":5,"block":8,"hp":700},{"name":"TFT5_Syndra","disname":"U2000513_TFT5_Syndra_3","type":5,"block":8,"hp":1080},{"name":"TFT5_Vayne","disname":"U2000117_TFT5_Vayne_2","type":5,"block":5,"hp":500},{"name":"TFT5_Gragas","disname":"U2000306_TFT5_Gragas_2","type":5,"block":5,"hp":1500},{"name":"TFT5_Varus","disname":"U2000452_TFT5_Varus_4","type":5,"block":5,"hp":1080},{"name":"TFT5_Leona","disname":"U2000142_TFT5_Leona_5","type":5,"block":2,"hp":1260},{"name":"TFT5_Khazix","disname":"U2000230_TFT5_Khazix_3","type":5,"block":2,"hp":900},{"name":"TFT5_Nautilus","disname":"U2000635_TFT5_Nautilus_5","type":5,"block":2,"hp":750},{"name":"TFT5_Khazix","disname":"U2000243_TFT5_Khazix_5","type":5,"block":1,"hp":900},{"name":"TFT5_Gragas","disname":"U2000316_TFT5_Gragas_4","type":5,"block":1,"hp":750},{"name":"TFT5_Nidalee","disname":"U2000883_TFT5_Nidalee_4","type":5,"block":1,"hp":800},{"name":"TFT5_Aatrox","disname":"U2000087_TFT5_Aatrox_4","type":5,"block":0,"hp":650},{"name":"TFT5_Leona","disname":"U2000131_TFT5_Leona_7","type":5,"block":0,"hp":700},{"name":"TFT5_Varus","disname":"U2000454_TFT5_Varus_5","type":5,"block":0,"hp":600},{"name":"TFT5_Kalista","disname":"U2000447_TFT5_Kalista_5","type":5,"block":3,"hp":900},{"name":"TFT5_Brand","disname":"U2000522_TFT5_Brand_5","type":5,"block":3,"hp":600},{"name":"TFT5_Nunu","disname":"U2000870_TFT5_Nunu_6","type":5,"block":3,"hp":900},{"name":"TFT5_Senna","disname":"U2000383_TFT5_Senna_6","type":5,"block":6,"hp":500},{"name":"TFT5_Tristana","disname":"U2000723_TFT5_Tristana_5","type":5,"block":6,"hp":550},{"name":"TFT5_Lux","disname":"U2000792_TFT5_Lux_5","type":5,"block":6,"hp":600},{"name":"TFT5_Syndra","disname":"U2000497_TFT5_Syndra_1","type":5,"block":0,"hp":600},{"name":"TFT5_Nidalee","disname":"U2000898_TFT5_Nidalee_1","type":5,"block":2,"hp":800},{"name":"TFT5_Vayne","disname":"U2000125_TFT5_Vayne_1","type":5,"block":5,"hp":500},{"name":"TFT5_Nocturne","disname":"U2000951_TFT5_Nocturne_1","type":5,"block":3,"hp":650},{"name":"TFT5_Udyr","disname":"U2000186_TFT5_Udyr_1","type":5,"block":5,"hp":700},{"name":"TFT5_Aatrox","disname":"U2000095_TFT5_Aatrox_1","type":5,"block":5,"hp":650},{"name":"TFT5_Senna","disname":"U2000371_TFT5_Senna_1","type":5,"block":6,"hp":500},{"name":"TFT5_Olaf","disname":"U2000419_TFT5_Olaf_1","type":5,"block":6,"hp":650}]}</t>
  </si>
  <si>
    <t>TestCubeRender</t>
  </si>
  <si>
    <t>TFT5_NPC_Dragon</t>
  </si>
  <si>
    <t>TFT5_DraconicEgg</t>
  </si>
  <si>
    <t>TestCubeRender10Vision</t>
  </si>
  <si>
    <t>TFT5_EmblemArmoryKey</t>
  </si>
  <si>
    <t>powerlevel 1</t>
  </si>
  <si>
    <t>powerlevel 2</t>
  </si>
  <si>
    <t>powerlevel 3</t>
  </si>
  <si>
    <t>{"success":true,"code":200,"msg":"鎴愬姛","data":["TFT5_Varus","TFT5_Soraka","TFT5_Udyr","TFT5_Kled","TFT5_Lulu"]}</t>
  </si>
  <si>
    <t>{"success":true,"code":200,"msg":"鎴愬姛","data":["Sold","TFT5_Rakan","TFT5_Kennen","TFT5_Leona","TFT5_Lux"]}</t>
  </si>
  <si>
    <t>1 star</t>
  </si>
  <si>
    <t>2 star</t>
  </si>
  <si>
    <t>3 star</t>
  </si>
  <si>
    <t>{"success":true,"code":200,"msg":"鎴愬姛","data":[{"fit":0,"name":"TFTChampion","disname":"Eternlty涓禨avio","type":3,"block":8,"hp":100},{"fit":0,"name":"TFTChampion","disname":"涓跺摀娈?,"type":3,"block":5,"hp":100},{"fit":0,"name":"TFTChampion","disname":"澶у崈娴稕","type":3,"block":2,"hp":100},{"fit":0,"name":"TFTChampion","disname":"37221","type":3,"block":1,"hp":100},{"fit":1,"name":"TFTChampion","disname":"钁埍钁績","type":3,"block":0,"hp":100},{"fit":0,"name":"TFTChampion","disname":"鐢峰コ鐢峰コ椹?,"type":3,"block":3,"hp":100},{"fit":0,"name":"TFTChampion","disname":"鍗冮噷涓跺鐑?,"type":3,"block":6,"hp":100},{"name":"TFT5_Varus","disname":"U2000452_TFT5_Varus_1","type":5,"block":1,"hp":600},{"name":"TFT5_Irelia","disname":"U2000699_TFT5_Irelia_1","type":5,"block":7,"hp":750},{"name":"TFT5_Vladimir","disname":"U2000198_TFT5_Vladimir_1","type":5,"block":2,"hp":650},{"name":"TFT5_Senna","disname":"U2000379_TFT5_Senna_1","type":5,"block":8,"hp":500},{"name":"TFT5_Kalista","disname":"U2000439_TFT5_Kalista_1","type":5,"block":0,"hp":500},{"name":"TFT5_Khazix","disname":"U2000233_TFT5_Khazix_1","type":5,"block":3,"hp":500},{"name":"TFT5_Aatrox","disname":"U2000073_TFT5_Aatrox_1","type":5,"block":5,"hp":650},{"name":"TFT5_Varus","disname":"U2000454_TFT5_Varus_1","type":5,"block":6,"hp":600},{"name":"TFT5_Leona","disname":"U2000158_TFT5_Leona_1","type":5,"block":7,"hp":700},{"name":"TFT5_Udyr","disname":"U2000171_TFT5_Udyr_1","type":5,"block":1,"hp":700},{"name":"TFT5_Olaf","disname":"U2000398_TFT5_Olaf_1","type":5,"block":1,"hp":650},{"name":"TFT5_Senna","disname":"U2000380_TFT5_Senna_1","type":5,"block":7,"hp":500},{"name":"TestCubeRender","disname":"TestCube","type":5,"block":6,"hp":100},{"name":"TestCubeRender","disname":"TestCube","type":5,"block":6,"hp":100},{"name":"TestCubeRender","disname":"TestCube","type":5,"block":6,"hp":100},{"name":"TFT5_Vayne","disname":"U2000106_TFT5_Vayne_1","type":5,"block":0,"hp":500},{"name":"TFT5_LeeSin","disname":"U2000757_TFT5_LeeSin_1","type":5,"block":5,"hp":850},{"name":"TFT5_Poppy","disname":"U2000289_TFT5_Poppy_1","type":5,"block":0,"hp":600},{"name":"TFT5_Lulu","disname":"U2000790_TFT5_Lulu_1","type":5,"block":5,"hp":650},{"name":"TFT5_Udyr","disname":"U2000160_TFT5_Udyr_4","type":5,"block":7,"hp":700},{"name":"TFT5_Udyr","disname":"U2000177_TFT5_Udyr_2","type":5,"block":7,"hp":700},{"name":"TFT5_Udyr","disname":"U2000175_TFT5_Udyr_2","type":5,"block":8,"hp":700},{"name":"TFT5_Olaf","disname":"U2000394_TFT5_Olaf_2","type":5,"block":8,"hp":650},{"name":"TFT5_Vladimir","disname":"U2000189_TFT5_Vladimir_4","type":5,"block":5,"hp":650},{"name":"TFT5_Gragas","disname":"U2000327_TFT5_Gragas_2","type":5,"block":5,"hp":750},{"name":"TFT5_Vladimir","disname":"U2000212_TFT5_Vladimir_2","type":5,"block":2,"hp":650},{"name":"TFT5_Olaf","disname":"U2000392_TFT5_Olaf_4","type":5,"block":2,"hp":650},{"name":"TFT5_Aatrox","disname":"U2000091_TFT5_Aatrox_2","type":5,"block":1,"hp":650},{"name":"TFT5_Leona","disname":"U2000139_TFT5_Leona_2","type":5,"block":1,"hp":700},{"name":"TFT5_Aatrox","disname":"U2000096_TFT5_Aatrox_2","type":5,"block":0,"hp":650},{"name":"TFT5_Kalista","disname":"U2000427_TFT5_Kalista_2","type":5,"block":0,"hp":500},{"name":"TFT5_Udyr","disname":"U2000162_TFT5_Udyr_2","type":5,"block":3,"hp":700},{"name":"TFT5_Khazix","disname":"U2000218_TFT5_Khazix_4","type":5,"block":3,"hp":500},{"name":"TFT5_Khazix","disname":"U2000228_TFT5_Khazix_2","type":5,"block":6,"hp":500},{"name":"TFT5_Gragas","disname":"U2000305_TFT5_Gragas_4","type":5,"block":6,"hp":750},{"name":"TFT5_Gragas","disname":"U2000306_TFT5_Gragas_1","type":5,"block":5,"hp":750},{"name":"TFT5_Leona","disname":"U2000140_TFT5_Leona_1","type":5,"block":7,"hp":700},{"name":"TFT5_Gragas","disname":"U2000308_TFT5_Gragas_1","type":5,"block":5,"hp":750}]}</t>
  </si>
  <si>
    <t>{"success":true,"code":200,"msg":"鎴愬姛","data":[{"fit":0,"name":"TFTChampion","disname":"Eternlty涓禨avio","type":3,"block":8,"hp":100},{"fit":0,"name":"TFTChampion","disname":"涓跺摀娈?,"type":3,"block":5,"hp":100},{"fit":0,"name":"TFTChampion","disname":"澶у崈娴稕","type":3,"block":2,"hp":96},{"fit":0,"name":"TFTChampion","disname":"37221","type":3,"block":1,"hp":100},{"fit":1,"name":"TFTChampion","disname":"钁埍钁績","type":3,"block":0,"hp":94},{"fit":0,"name":"TFTChampion","disname":"鐢峰コ鐢峰コ椹?,"type":3,"block":3,"hp":94},{"fit":0,"name":"TFTChampion","disname":"鍗冮噷涓跺鐑?,"type":3,"block":6,"hp":96},{"name":"TFT5_Kalista","disname":"U2000439_TFT5_Kalista_1","type":5,"block":0,"hp":500},{"name":"TFT5_Aatrox","disname":"U2000073_TFT5_Aatrox_1","type":5,"block":5,"hp":650},{"name":"TFT5_Leona","disname":"U2000158_TFT5_Leona_1","type":5,"block":7,"hp":700},{"name":"TFT5_Udyr","disname":"U2000171_TFT5_Udyr_1","type":5,"block":1,"hp":700},{"name":"TFT5_Senna","disname":"U2000380_TFT5_Senna_1","type":5,"block":7,"hp":500},{"name":"TFT5_Udyr","disname":"U2000177_TFT5_Udyr_2","type":5,"block":7,"hp":700},{"name":"TFT5_Leona","disname":"U2000140_TFT5_Leona_1","type":5,"block":7,"hp":700},{"name":"TFT5_Udyr","disname":"U2000161_TFT5_Udyr_1","type":5,"block":8,"hp":700},{"name":"TFT5_Olaf","disname":"U2000412_TFT5_Olaf_1","type":5,"block":8,"hp":650},{"name":"TFT5_Udyr","disname":"U2000168_TFT5_Udyr_1","type":5,"block":3,"hp":700},{"name":"TFT5_Olaf","disname":"U2000409_TFT5_Olaf_1","type":5,"block":1,"hp":650},{"name":"TFT5_Varus","disname":"U2000460_TFT5_Varus_1","type":5,"block":6,"hp":600},{"name":"TFT5_Lux","disname":"U2000799_TFT5_Lux_1","type":5,"block":0,"hp":600},{"name":"TFT5_Zyra","disname":"U2000849_TFT5_Zyra_1","type":5,"block":2,"hp":600},{"name":"TFT5_Hecarim","disname":"U2000544_TFT5_Hecarim_1","type":5,"block":3,"hp":750},{"name":"TFT5_Udyr","disname":"U2000175_TFT5_Udyr_3","type":5,"block":8,"hp":700},{"name":"TFT5_Nautilus","disname":"U2000647_TFT5_Nautilus_2","type":5,"block":2,"hp":750},{"name":"TFT5_Udyr","disname":"U2000162_TFT5_Udyr_3","type":5,"block":3,"hp":700},{"name":"TFT5_Senna","disname":"U2000382_TFT5_Senna_1","type":5,"block":1,"hp":500},{"name":"TFT5_Olaf","disname":"U2000393_TFT5_Olaf_1","type":5,"block":7,"hp":650},{"name":"TFT5_Olaf","disname":"U2000420_TFT5_Olaf_1","type":5,"block":2,"hp":650},{"name":"TFT5_Leona","disname":"U2000142_TFT5_Leona_1","type":5,"block":3,"hp":700},{"name":"TFT5_Sett","disname":"U2000688_TFT5_Sett_1","type":5,"block":1,"hp":750},{"name":"TFT5_Poppy","disname":"U2000297_TFT5_Poppy_1","type":5,"block":3,"hp":600},{"name":"TFT5_Kennen","disname":"U2000626_TFT5_Kennen_1","type":5,"block":1,"hp":600},{"name":"TFT5_Udyr","disname":"U2000160_TFT5_Udyr_6","type":5,"block":7,"hp":700},{"name":"TFT5_Olaf","disname":"U2000414_TFT5_Olaf_3","type":5,"block":7,"hp":1170},{"name":"TFT5_Irelia","disname":"U2000699_TFT5_Irelia_3","type":5,"block":7,"hp":750},{"name":"TFT5_Senna","disname":"U2000379_TFT5_Senna_4","type":5,"block":8,"hp":500},{"name":"TFT5_Olaf","disname":"U2000394_TFT5_Olaf_5","type":5,"block":8,"hp":650},{"name":"TFT5_Pyke","disname":"U2000578_TFT5_Pyke_3","type":5,"block":8,"hp":650},{"name":"TFT5_Udyr","disname":"U2000173_TFT5_Udyr_3","type":5,"block":5,"hp":700},{"name":"TFT5_Gragas","disname":"U2000327_TFT5_Gragas_4","type":5,"block":5,"hp":1350},{"name":"TFT5_Irelia","disname":"U2000696_TFT5_Irelia_2","type":5,"block":5,"hp":750},{"name":"TFT5_LeeSin","disname":"U2000757_TFT5_LeeSin_3","type":5,"block":5,"hp":850},{"name":"TFT5_Olaf","disname":"U2000392_TFT5_Olaf_6","type":5,"block":2,"hp":650},{"name":"TFT5_Irelia","disname":"U2000703_TFT5_Irelia_2","type":5,"block":2,"hp":750},{"name":"TFT5_Ashe","disname":"U2000837_TFT5_Ashe_2","type":5,"block":2,"hp":550},{"name":"TFT5_Senna","disname":"U2000381_TFT5_Senna_4","type":5,"block":1,"hp":500},{"name":"TFT5_Olaf","disname":"U2000398_TFT5_Olaf_4","type":5,"block":1,"hp":1650},{"name":"TFT5_Pyke","disname":"U2000564_TFT5_Pyke_4","type":5,"block":1,"hp":650},{"name":"TFT5_Aatrox","disname":"U2000096_TFT5_Aatrox_5","type":5,"block":0,"hp":650},{"name":"TFT5_Leona","disname":"U2000137_TFT5_Leona_4","type":5,"block":0,"hp":700},{"name":"TFT5_Kalista","disname":"U2000427_TFT5_Kalista_5","type":5,"block":0,"hp":500},{"name":"TFT5_Varus","disname":"U2000459_TFT5_Varus_3","type":5,"block":0,"hp":600},{"name":"TFT5_Leona","disname":"U2000147_TFT5_Leona_2","type":5,"block":3,"hp":700},{"name":"TFT5_Hecarim","disname":"U2000541_TFT5_Hecarim_2","type":5,"block":3,"hp":750},{"name":"TFT5_Thresh","disname":"U2000662_TFT5_Thresh_2","type":5,"block":3,"hp":800},{"name":"TFT5_Leona","disname":"U2000159_TFT5_Leona_3","type":5,"block":6,"hp":700},{"name":"TFT5_Varus","disname":"U2000454_TFT5_Varus_4","type":5,"block":6,"hp":600},{"name":"TFT5_Thresh","disname":"U2000667_TFT5_Thresh_3","type":5,"block":6,"hp":800},{"name":"TFT5_Aatrox","disname":"U2000095_TFT5_Aatrox_1","type":5,"block":7,"hp":650},{"name":"TFT5_Kalista","disname":"U2000422_TFT5_Kalista_1","type":5,"block":1,"hp":500}]}</t>
  </si>
  <si>
    <t>{"success":true,"code":200,"msg":"鎴愬姛","data":[{"fit":0,"name":"TFTChampion","disname":"涔愯叮涓€涓?,"type":3,"block":8,"hp":100},{"fit":0,"name":"TFTChampion","disname":"鎷掔粷鏆ф槯222","type":3,"block":5,"hp":100},{"fit":0,"name":"TFTChampion","disname":"閭ｆ櫄鍏滅孩浜?,"type":3,"block":2,"hp":100},{"fit":0,"name":"TFTChampion","disname":"ci寰?447583","type":3,"block":1,"hp":100},{"fit":1,"name":"TFTChampion","disname":"姝ょ敓蹇呯潯灏忚彍楦?,"type":3,"block":0,"hp":100},{"fit":0,"name":"TFTChampion","disname":"楦摜灏忚穿","type":3,"block":3,"hp":100},{"fit":0,"name":"TFTChampion","disname":"閬撲笉灏界孩灏樼儹鎭嬩付","type":3,"block":6,"hp":100},{"name":"TFT5_Khazix","disname":"U2000218_TFT5_Khazix_3","type":5,"block":6,"hp":500},{"name":"TFT5_Varus","disname":"U2000452_TFT5_Varus_1","type":5,"block":6,"hp":600},{"name":"TFT5_Irelia","disname":"U2000703_TFT5_Irelia_1","type":5,"block":6,"hp":750},{"name":"TFT5_Leona","disname":"U2000135_TFT5_Leona_1","type":5,"block":1,"hp":700},{"name":"TFT5_Udyr","disname":"U2000177_TFT5_Udyr_1","type":5,"block":0,"hp":700},{"name":"TFT5_Aatrox","disname":"U2000080_TFT5_Aatrox_1","type":5,"block":1,"hp":650},{"name":"TFT5_Aatrox","disname":"U2000101_TFT5_Aatrox_1","type":5,"block":6,"hp":650},{"name":"TFT5_Kalista","disname":"U2000425_TFT5_Kalista_1","type":5,"block":7,"hp":500},{"name":"TFT5_Ashe","disname":"U2000840_TFT5_Ashe_1","type":5,"block":5,"hp":550},{"name":"TFT5_Ashe","disname":"U2000839_TFT5_Ashe_1","type":5,"block":5,"hp":550},{"name":"TFT5_Nidalee","disname":"U2000882_TFT5_Nidalee_1","type":5,"block":7,"hp":800},{"name":"TFT5_MissFortune","disname":"U2000931_TFT5_MissFortune_1","type":5,"block":7,"hp":700},{"name":"TFT5_Vayne","disname":"U2000112_TFT5_Vayne_1","type":5,"block":5,"hp":500},{"name":"TFT5_Nunu","disname":"U2000869_TFT5_Nunu_1","type":5,"block":1,"hp":900},{"name":"TFT5_Tristana","disname":"U2000736_TFT5_Tristana_1","type":5,"block":1,"hp":550},{"name":"TFT5_Vladimir","disname":"U2000189_TFT5_Vladimir_4","type":5,"block":7,"hp":650},{"name":"TFT5_Vladimir","disname":"U2000200_TFT5_Vladimir_2","type":5,"block":7,"hp":650},{"name":"TFT5_Olaf","disname":"U2000392_TFT5_Olaf_4","type":5,"block":8,"hp":1170},{"name":"TFT5_Kled","disname":"U2000247_TFT5_Kled_4","type":5,"block":5,"hp":400},{"name":"TFT5_Poppy","disname":"U2000278_TFT5_Poppy_2","type":5,"block":5,"hp":600},{"name":"TFT5_Aatrox","disname":"U2000073_TFT5_Aatrox_4","type":5,"block":2,"hp":1170},{"name":"TFT5_Poppy","disname":"U2000292_TFT5_Poppy_2","type":5,"block":2,"hp":600},{"name":"TFT5_Khazix","disname":"U2000231_TFT5_Khazix_2","type":5,"block":1,"hp":500},{"name":"TFT5_Nocturne","disname":"U2000937_TFT5_Nocturne_2","type":5,"block":1,"hp":650},{"name":"TFT5_Udyr","disname":"U2000160_TFT5_Udyr_4","type":5,"block":0,"hp":700},{"name":"TFT5_Ziggs","disname":"U2000334_TFT5_Ziggs_4","type":5,"block":3,"hp":810},{"name":"TFT5_Leona","disname":"U2000155_TFT5_Leona_2","type":5,"block":6,"hp":700},{"name":"TFT5_Syndra","disname":"U2000507_TFT5_Syndra_2","type":5,"block":6,"hp":600},{"name":"TFT5_Kalista","disname":"U2000436_TFT5_Kalista_1","type":5,"block":3,"hp":500},{"name":"TFT5_Udyr","disname":"U2000184_TFT5_Udyr_1","type":5,"block":3,"hp":700},{"name":"TFT5_Senna","disname":"U2000370_TFT5_Senna_1","type":5,"block":3,"hp":500},{"name":"TFT5_Ziggs","disname":"U2000350_TFT5_Ziggs_1","type":5,"block":3,"hp":450},{"name":"TFT5_Nautilus","disname":"U2000644_TFT5_Nautilus_1","type":5,"block":6,"hp":750},{"name":"TFT5_Leona","disname":"U2000147_TFT5_Leona_1","type":5,"block":0,"hp":700},{"name":"TFT5_Udyr","disname":"U2000186_TFT5_Udyr_1","type":5,"block":8,"hp":700},{"name":"TFT5_Poppy","disname":"U2000300_TFT5_Poppy_1","type":5,"block":1,"hp":600},{"name":"TFT5_Aatrox","disname":"U2000081_TFT5_Aatrox_1","type":5,"block":2,"hp":650},{"name":"TFT5_Aatrox","disname":"U2000082_TFT5_Aatrox_1","type":5,"block":2,"hp":650}]}</t>
  </si>
  <si>
    <t>{"success":true,"code":200,"msg":"鎴愬姛","data":[{"fit":0,"name":"TFTChampion","disname":"鍖楃悊鎴愬悏鎬濇睏","type":3,"block":7,"hp":100},{"fit":0,"name":"TFTChampion","disname":"鏅氶璁镐綘","type":3,"block":8,"hp":100},{"fit":0,"name":"TFTChampion","disname":"灏忓浼欒繕鎸洪毦蹇?","type":3,"block":5,"hp":100},{"fit":0,"name":"TFTChampion","disname":"Kayle涓禡ay5","type":3,"block":1,"hp":98},{"fit":1,"name":"TFTChampion","disname":"TomXxv","type":3,"block":0,"hp":100},{"fit":0,"name":"TFTChampion","disname":"铏庣汗椴ㄩ奔涓€鍙ｅ氨","type":3,"block":3,"hp":100},{"fit":0,"name":"TFTChampion","disname":"杩欐槸鑹炬灏间簹鍢?,"type":3,"block":6,"hp":100},{"name":"TFT5_Khazix","disname":"U2000218_TFT5_Khazix_3","type":5,"block":2,"hp":500},{"name":"TFT5_Leona","disname":"U2000134_TFT5_Leona_1","type":5,"block":0,"hp":700},{"name":"TFT5_Udyr","disname":"U2000163_TFT5_Udyr_1","type":5,"block":7,"hp":700},{"name":"TFT5_Ziggs","disname":"U2000360_TFT5_Ziggs_1","type":5,"block":3,"hp":450},{"name":"TFT5_Ziggs","disname":"U2000347_TFT5_Ziggs_1","type":5,"block":5,"hp":450},{"name":"TFT5_Kled","disname":"U2000255_TFT5_Kled_1","type":5,"block":8,"hp":400},{"name":"TFT5_Lulu","disname":"U2000780_TFT5_Lulu_1","type":5,"block":1,"hp":650},{"name":"TFT5_Syndra","disname":"U2000504_TFT5_Syndra_1","type":5,"block":1,"hp":600},{"name":"TFT5_Ziggs","disname":"U2000356_TFT5_Ziggs_1","type":5,"block":8,"hp":450},{"name":"TFT5_Irelia","disname":"U2000714_TFT5_Irelia_1","type":5,"block":7,"hp":750},{"name":"TFT5_Lulu","disname":"U2000786_TFT5_Lulu_1","type":5,"block":6,"hp":650},{"name":"TFT5_LeeSin","disname":"U2000763_TFT5_LeeSin_1","type":5,"block":0,"hp":850},{"name":"TFT5_Thresh","disname":"U2000657_TFT5_Thresh_1","type":5,"block":0,"hp":800},{"name":"TFT5_Kalista","disname":"U2000446_TFT5_Kalista_1","type":5,"block":3,"hp":500},{"name":"TFT5_Poppy","disname":"U2000286_TFT5_Poppy_1","type":5,"block":3,"hp":600},{"name":"TFT5_Senna","disname":"U2000368_TFT5_Senna_1","type":5,"block":6,"hp":500},{"name":"TFT5_Kalista","disname":"U2000429_TFT5_Kalista_1","type":5,"block":3,"hp":500},{"name":"TFT5_Poppy","disname":"U2000277_TFT5_Poppy_1","type":5,"block":8,"hp":600},{"name":"TFT5_Vayne","disname":"U2000109_TFT5_Vayne_1","type":5,"block":8,"hp":500},{"name":"TFT5_Olaf","disname":"U2000419_TFT5_Olaf_2","type":5,"block":7,"hp":650},{"name":"TFT5_Nidalee","disname":"U2000883_TFT5_Nidalee_2","type":5,"block":7,"hp":800},{"name":"TFT5_Leona","disname":"U2000131_TFT5_Leona_4","type":5,"block":8,"hp":700},{"name":"TFT5_Vladimir","disname":"U2000193_TFT5_Vladimir_2","type":5,"block":5,"hp":650},{"name":"TFT5_Poppy","disname":"U2000276_TFT5_Poppy_4","type":5,"block":5,"hp":600},{"name":"TFT5_Kled","disname":"U2000274_TFT5_Kled_2","type":5,"block":2,"hp":400},{"name":"TFT5_Ziggs","disname":"U2000336_TFT5_Ziggs_2","type":5,"block":2,"hp":450},{"name":"TFT5_Gragas","disname":"U2000305_TFT5_Gragas_4","type":5,"block":1,"hp":750},{"name":"TFT5_Aatrox","disname":"U2000091_TFT5_Aatrox_2","type":5,"block":0,"hp":650},{"name":"TFT5_Leona","disname":"U2000158_TFT5_Leona_2","type":5,"block":0,"hp":700},{"name":"TFT5_Aatrox","disname":"U2000073_TFT5_Aatrox_4","type":5,"block":3,"hp":650},{"name":"TFT5_Olaf","disname":"U2000393_TFT5_Olaf_2","type":5,"block":3,"hp":650},{"name":"TFT5_Kled","disname":"U2000271_TFT5_Kled_2","type":5,"block":6,"hp":400},{"name":"TFT5_Ziggs","disname":"U2000362_TFT5_Ziggs_2","type":5,"block":6,"hp":450},{"name":"TFT5_Irelia","disname":"U2000713_TFT5_Irelia_1","type":5,"block":1,"hp":750}]}</t>
  </si>
  <si>
    <t>{"success":true,"code":200,"msg":"鎴愬姛","data":[{"fit":0,"name":"TFTChampion","disname":"鍖楃悊鎴愬悏鎬濇睏","type":3,"block":7,"hp":100},{"fit":0,"name":"TFTChampion","disname":"鏅氶璁镐綘","type":3,"block":8,"hp":100},{"fit":0,"name":"TFTChampion","disname":"灏忓浼欒繕鎸洪毦蹇?","type":3,"block":5,"hp":100},{"fit":0,"name":"TFTChampion","disname":"Kayle涓禡ay5","type":3,"block":1,"hp":98},{"fit":1,"name":"TFTChampion","disname":"TomXxv","type":3,"block":0,"hp":100},{"fit":0,"name":"TFTChampion","disname":"铏庣汗椴ㄩ奔涓€鍙ｅ氨","type":3,"block":3,"hp":100},{"fit":0,"name":"TFTChampion","disname":"杩欐槸鑹炬灏间簹鍢?,"type":3,"block":6,"hp":100},{"name":"TFT5_Leona","disname":"U2000134_TFT5_Leona_1","type":5,"block":0,"hp":700},{"name":"TFT5_Udyr","disname":"U2000163_TFT5_Udyr_1","type":5,"block":7,"hp":700},{"name":"TFT5_Kled","disname":"U2000255_TFT5_Kled_1","type":5,"block":8,"hp":400},{"name":"TFT5_Lulu","disname":"U2000786_TFT5_Lulu_1","type":5,"block":6,"hp":650},{"name":"TFT5_LeeSin","disname":"U2000763_TFT5_LeeSin_1","type":5,"block":0,"hp":850},{"name":"TFT5_Kalista","disname":"U2000446_TFT5_Kalista_1","type":5,"block":3,"hp":500},{"name":"TFT5_Senna","disname":"U2000368_TFT5_Senna_1","type":5,"block":6,"hp":500},{"name":"TFT5_Kalista","disname":"U2000429_TFT5_Kalista_1","type":5,"block":3,"hp":500},{"name":"TFT5_Ziggs","disname":"U2000336_TFT5_Ziggs_2","type":5,"block":2,"hp":450},{"name":"TFT5_Senna","disname":"U2000386_TFT5_Senna_1","type":5,"block":7,"hp":500},{"name":"TFT5_Olaf","disname":"U2000415_TFT5_Olaf_1","type":5,"block":3,"hp":650},{"name":"TFT5_Ziggs","disname":"U2000352_TFT5_Ziggs_1","type":5,"block":3,"hp":450},{"name":"TFT5_Sett","disname":"U2000672_TFT5_Sett_1","type":5,"block":3,"hp":750},{"name":"TFT5_Aatrox","disname":"U2000101_TFT5_Aatrox_1","type":5,"block":0,"hp":650},{"name":"TFT5_Udyr","disname":"U2000177_TFT5_Udyr_1","type":5,"block":6,"hp":700},{"name":"TFT5_Kled","disname":"U2000270_TFT5_Kled_1","type":5,"block":3,"hp":400},{"name":"TFT5_Nunu","disname":"U2000878_TFT5_Nunu_1","type":5,"block":2,"hp":900},{"name":"TFT5_Kennen","disname":"U2000615_TFT5_Kennen_1","type":5,"block":6,"hp":600},{"name":"TFT5_Khazix","disname":"U2000241_TFT5_Khazix_1","type":5,"block":8,"hp":500},{"name":"TFT5_Olaf","disname":"U2000419_TFT5_Olaf_3","type":5,"block":7,"hp":650},{"name":"TFT5_Irelia","disname":"U2000714_TFT5_Irelia_2","type":5,"block":7,"hp":750},{"name":"TFT5_Nidalee","disname":"U2000883_TFT5_Nidalee_3","type":5,"block":7,"hp":800},{"name":"TFT5_Senna","disname":"U2000389_TFT5_Senna_2","type":5,"block":8,"hp":500},{"name":"TFT5_Senna","disname":"U2000391_TFT5_Senna_2","type":5,"block":8,"hp":500},{"name":"TFT5_Olaf","disname":"U2000399_TFT5_Olaf_2","type":5,"block":8,"hp":650},{"name":"TFT5_Vladimir","disname":"U2000193_TFT5_Vladimir_3","type":5,"block":5,"hp":650},{"name":"TFT5_Sejuani","disname":"U2000596_TFT5_Sejuani_2","type":5,"block":5,"hp":750},{"name":"TFT5_Tristana","disname":"U2000727_TFT5_Tristana_2","type":5,"block":5,"hp":550},{"name":"TFT5_Kled","disname":"U2000252_TFT5_Kled_2","type":5,"block":2,"hp":400},{"name":"TFT5_Kled","disname":"U2000274_TFT5_Kled_3","type":5,"block":2,"hp":400},{"name":"TFT5_Thresh","disname":"U2000652_TFT5_Thresh_2","type":5,"block":2,"hp":800},{"name":"TFT5_Vladimir","disname":"U2000208_TFT5_Vladimir_2","type":5,"block":1,"hp":650},{"name":"TFT5_Olaf","disname":"U2000397_TFT5_Olaf_2","type":5,"block":1,"hp":650},{"name":"TFT5_Irelia","disname":"U2000713_TFT5_Irelia_2","type":5,"block":1,"hp":750},{"name":"TFT5_Aatrox","disname":"U2000091_TFT5_Aatrox_3","type":5,"block":0,"hp":650},{"name":"TFT5_Leona","disname":"U2000158_TFT5_Leona_3","type":5,"block":0,"hp":700},{"name":"TFT5_Syndra","disname":"U2000506_TFT5_Syndra_2","type":5,"block":0,"hp":600},{"name":"TFT5_Poppy","disname":"U2000286_TFT5_Poppy_2","type":5,"block":3,"hp":600},{"name":"TFT5_Ziggs","disname":"U2000360_TFT5_Ziggs_2","type":5,"block":3,"hp":450},{"name":"TFT5_Olaf","disname":"U2000393_TFT5_Olaf_3","type":5,"block":3,"hp":650},{"name":"TFT5_Kled","disname":"U2000271_TFT5_Kled_3","type":5,"block":6,"hp":400},{"name":"TFT5_Poppy","disname":"U2000281_TFT5_Poppy_2","type":5,"block":6,"hp":600},{"name":"TFT5_Ziggs","disname":"U2000362_TFT5_Ziggs_3","type":5,"block":6,"hp":450},{"name":"TFT5_Hecarim","disname":"U2000547_TFT5_Hecarim_1","type":5,"block":2,"hp":750},{"name":"TFT5_Sett","disname":"U2000674_TFT5_Sett_1","type":5,"block":5,"hp":750},{"name":"TFT5_Pyke","disname":"U2000575_TFT5_Pyke_1","type":5,"block":5,"hp":650},{"name":"TFT5_Varus","disname":"U2000456_TFT5_Varus_1","type":5,"block":5,"hp":600},{"name":"TFT5_Ziggs","disname":"U2000335_TFT5_Ziggs_1","type":5,"block":2,"hp":450}]}</t>
  </si>
  <si>
    <t>{"success":true,"code":200,"msg":"鎴愬姛","data":[{"fit":0,"name":"TFTChampion","disname":"鍖楃悊鎴愬悏鎬濇睏","type":3,"block":7,"hp":100},{"fit":0,"name":"TFTChampion","disname":"鏅氶璁镐綘","type":3,"block":8,"hp":100},{"fit":1,"name":"TFTChampion","disname":"灏忓浼欒繕鎸洪毦蹇?","type":3,"block":5,"hp":92},{"fit":0,"name":"TFTChampion","disname":"Kayle涓禡ay5","type":3,"block":1,"hp":90},{"fit":1,"name":"TFTChampion","disname":"TomXxv","type":3,"block":0,"hp":98},{"fit":0,"name":"TFTChampion","disname":"铏庣汗椴ㄩ奔涓€鍙ｅ氨","type":3,"block":3,"hp":96},{"fit":0,"name":"TFTChampion","disname":"杩欐槸鑹炬灏间簹鍢?,"type":3,"block":6,"hp":100},{"name":"TFT5_Udyr","disname":"U2000163_TFT5_Udyr_1","type":5,"block":7,"hp":700},{"name":"TFT5_Kled","disname":"U2000255_TFT5_Kled_1","type":5,"block":8,"hp":400},{"name":"TFT5_Lulu","disname":"U2000786_TFT5_Lulu_1","type":5,"block":6,"hp":650},{"name":"TFT5_LeeSin","disname":"U2000763_TFT5_LeeSin_1","type":5,"block":0,"hp":850},{"name":"TFT5_Kalista","disname":"U2000446_TFT5_Kalista_1","type":5,"block":3,"hp":500},{"name":"TFT5_Senna","disname":"U2000368_TFT5_Senna_1","type":5,"block":6,"hp":500},{"name":"TFT5_Kalista","disname":"U2000429_TFT5_Kalista_1","type":5,"block":3,"hp":500},{"name":"TFT5_Ziggs","disname":"U2000336_TFT5_Ziggs_2","type":5,"block":2,"hp":450},{"name":"TFT5_Ziggs","disname":"U2000352_TFT5_Ziggs_1","type":5,"block":3,"hp":450},{"name":"TFT5_Sett","disname":"U2000672_TFT5_Sett_1","type":5,"block":3,"hp":750},{"name":"TFT5_Udyr","disname":"U2000177_TFT5_Udyr_1","type":5,"block":6,"hp":700},{"name":"TFT5_Kled","disname":"U2000270_TFT5_Kled_1","type":5,"block":3,"hp":400},{"name":"TFT5_Senna","disname":"U2000389_TFT5_Senna_2","type":5,"block":8,"hp":500},{"name":"TFT5_Senna","disname":"U2000391_TFT5_Senna_2","type":5,"block":8,"hp":500},{"name":"TFT5_Poppy","disname":"U2000304_TFT5_Poppy_1","type":5,"block":3,"hp":600},{"name":"TFT5_Leona","disname":"U2000143_TFT5_Leona_1","type":5,"block":2,"hp":700},{"name":"TFT5_Aatrox","disname":"U2000092_TFT5_Aatrox_1","type":5,"block":2,"hp":650},{"name":"TFT5_Senna","disname":"U2000386_TFT5_Senna_2","type":5,"block":7,"hp":500},{"name":"TFT5_Olaf","disname":"U2000419_TFT5_Olaf_4","type":5,"block":7,"hp":650},{"name":"TFT5_Irelia","disname":"U2000714_TFT5_Irelia_3","type":5,"block":7,"hp":750},{"name":"TFT5_Nidalee","disname":"U2000883_TFT5_Nidalee_4","type":5,"block":7,"hp":800},{"name":"TFT5_Kled","disname":"U2000259_TFT5_Kled_3","type":5,"block":8,"hp":400},{"name":"TFT5_Olaf","disname":"U2000399_TFT5_Olaf_4","type":5,"block":8,"hp":650},{"name":"TFT5_Tristana","disname":"U2000726_TFT5_Tristana_3","type":5,"block":8,"hp":550},{"name":"TFT5_MissFortune","disname":"U2000927_TFT5_MissFortune_3","type":5,"block":8,"hp":700},{"name":"TFT5_Vladimir","disname":"U2000193_TFT5_Vladimir_5","type":5,"block":5,"hp":650},{"name":"TFT5_Pyke","disname":"U2000575_TFT5_Pyke_3","type":5,"block":5,"hp":650},{"name":"TFT5_Sejuani","disname":"U2000596_TFT5_Sejuani_4","type":5,"block":5,"hp":750},{"name":"TFT5_Kled","disname":"U2000252_TFT5_Kled_3","type":5,"block":2,"hp":720},{"name":"TFT5_Ziggs","disname":"U2000335_TFT5_Ziggs_2","type":5,"block":2,"hp":450},{"name":"TFT5_Hecarim","disname":"U2000547_TFT5_Hecarim_2","type":5,"block":2,"hp":750},{"name":"TFT5_Thresh","disname":"U2000652_TFT5_Thresh_3","type":5,"block":2,"hp":800},{"name":"TFT5_Vladimir","disname":"U2000208_TFT5_Vladimir_4","type":5,"block":1,"hp":650},{"name":"TFT5_Olaf","disname":"U2000397_TFT5_Olaf_4","type":5,"block":1,"hp":650},{"name":"TFT5_Irelia","disname":"U2000713_TFT5_Irelia_4","type":5,"block":1,"hp":750},{"name":"TFT5_Aatrox","disname":"U2000091_TFT5_Aatrox_4","type":5,"block":0,"hp":1170},{"name":"TFT5_Leona","disname":"U2000158_TFT5_Leona_4","type":5,"block":0,"hp":1260},{"name":"TFT5_Syndra","disname":"U2000506_TFT5_Syndra_3","type":5,"block":0,"hp":600},{"name":"TFT5_Poppy","disname":"U2000286_TFT5_Poppy_4","type":5,"block":3,"hp":600},{"name":"TFT5_Ziggs","disname":"U2000360_TFT5_Ziggs_4","type":5,"block":3,"hp":450},{"name":"TFT5_Olaf","disname":"U2000393_TFT5_Olaf_5","type":5,"block":3,"hp":1170},{"name":"TFT5_Kled","disname":"U2000271_TFT5_Kled_4","type":5,"block":6,"hp":400},{"name":"TFT5_Poppy","disname":"U2000281_TFT5_Poppy_3","type":5,"block":6,"hp":600},{"name":"TFT5_Ziggs","disname":"U2000362_TFT5_Ziggs_4","type":5,"block":6,"hp":450},{"name":"TFT5_Kennen","disname":"U2000615_TFT5_Kennen_2","type":5,"block":6,"hp":600},{"name":"TFT5_Aatrox","disname":"U2000089_TFT5_Aatrox_1","type":5,"block":0,"hp":650},{"name":"TFT5_Irelia","disname":"U2000710_TFT5_Irelia_1","type":5,"block":5,"hp":750},{"name":"TFT5_Irelia","disname":"U2000697_TFT5_Irelia_1","type":5,"block":0,"hp":750},{"name":"TFT5_Varus","disname":"U2000454_TFT5_Varus_1","type":5,"block":0,"hp":600}]}</t>
  </si>
  <si>
    <t>{"success":true,"code":200,"msg":"鎴愬姛","data":[{"fit":0,"name":"TFTChampion","disname":"鍖楃悊鎴愬悏鎬濇睏","type":3,"block":7,"hp":100},{"fit":0,"name":"TFTChampion","disname":"鏅氶璁镐綘","type":3,"block":8,"hp":100},{"fit":1,"name":"TFTChampion","disname":"灏忓浼欒繕鎸洪毦蹇?","type":3,"block":5,"hp":92},{"fit":0,"name":"TFTChampion","disname":"Kayle涓禡ay5","type":3,"block":1,"hp":90},{"fit":1,"name":"TFTChampion","disname":"TomXxv","type":3,"block":0,"hp":98},{"fit":0,"name":"TFTChampion","disname":"铏庣汗椴ㄩ奔涓€鍙ｅ氨","type":3,"block":3,"hp":96},{"fit":0,"name":"TFTChampion","disname":"杩欐槸鑹炬灏间簹鍢?,"type":3,"block":6,"hp":100},{"name":"TFT5_Udyr","disname":"U2000163_TFT5_Udyr_1","type":5,"block":7,"hp":700},{"name":"TFT5_Kled","disname":"U2000255_TFT5_Kled_1","type":5,"block":8,"hp":400},{"name":"TFT5_Lulu","disname":"U2000786_TFT5_Lulu_1","type":5,"block":6,"hp":650},{"name":"TFT5_LeeSin","disname":"U2000763_TFT5_LeeSin_1","type":5,"block":0,"hp":850},{"name":"TFT5_Kalista","disname":"U2000446_TFT5_Kalista_1","type":5,"block":3,"hp":500},{"name":"TFT5_Senna","disname":"U2000368_TFT5_Senna_1","type":5,"block":6,"hp":500},{"name":"TFT5_Kalista","disname":"U2000429_TFT5_Kalista_1","type":5,"block":3,"hp":500},{"name":"TFT5_Ziggs","disname":"U2000352_TFT5_Ziggs_1","type":5,"block":3,"hp":450},{"name":"TFT5_Sett","disname":"U2000672_TFT5_Sett_1","type":5,"block":3,"hp":750},{"name":"TFT5_Udyr","disname":"U2000177_TFT5_Udyr_1","type":5,"block":6,"hp":700},{"name":"TFT5_Kled","disname":"U2000270_TFT5_Kled_1","type":5,"block":3,"hp":400},{"name":"TFT5_Senna","disname":"U2000389_TFT5_Senna_2","type":5,"block":8,"hp":500},{"name":"TFT5_Senna","disname":"U2000391_TFT5_Senna_2","type":5,"block":8,"hp":500},{"name":"TFT5_Poppy","disname":"U2000304_TFT5_Poppy_1","type":5,"block":3,"hp":600},{"name":"TFT5_Senna","disname":"U2000386_TFT5_Senna_2","type":5,"block":7,"hp":500},{"name":"TFT5_Olaf","disname":"U2000419_TFT5_Olaf_4","type":5,"block":7,"hp":650},{"name":"TFT5_Irelia","disname":"U2000714_TFT5_Irelia_3","type":5,"block":7,"hp":750},{"name":"TFT5_Nidalee","disname":"U2000883_TFT5_Nidalee_4","type":5,"block":7,"hp":800},{"name":"TFT5_Kled","disname":"U2000259_TFT5_Kled_3","type":5,"block":8,"hp":400},{"name":"TFT5_Olaf","disname":"U2000399_TFT5_Olaf_4","type":5,"block":8,"hp":650},{"name":"TFT5_Tristana","disname":"U2000726_TFT5_Tristana_3","type":5,"block":8,"hp":550},{"name":"TFT5_Vladimir","disname":"U2000193_TFT5_Vladimir_5","type":5,"block":5,"hp":650},{"name":"TFT5_Pyke","disname":"U2000575_TFT5_Pyke_3","type":5,"block":5,"hp":650},{"name":"TFT5_Sejuani","disname":"U2000596_TFT5_Sejuani_4","type":5,"block":5,"hp":750},{"name":"TFT5_Kled","disname":"U2000252_TFT5_Kled_3","type":5,"block":2,"hp":720},{"name":"TFT5_Hecarim","disname":"U2000547_TFT5_Hecarim_2","type":5,"block":2,"hp":750},{"name":"TFT5_Thresh","disname":"U2000652_TFT5_Thresh_3","type":5,"block":2,"hp":800},{"name":"TFT5_Vladimir","disname":"U2000208_TFT5_Vladimir_4","type":5,"block":1,"hp":650},{"name":"TFT5_Olaf","disname":"U2000397_TFT5_Olaf_4","type":5,"block":1,"hp":650},{"name":"TFT5_Irelia","disname":"U2000713_TFT5_Irelia_4","type":5,"block":1,"hp":750},{"name":"TFT5_Aatrox","disname":"U2000091_TFT5_Aatrox_4","type":5,"block":0,"hp":1170},{"name":"TFT5_Leona","disname":"U2000158_TFT5_Leona_4","type":5,"block":0,"hp":1260},{"name":"TFT5_Syndra","disname":"U2000506_TFT5_Syndra_3","type":5,"block":0,"hp":600},{"name":"TFT5_Poppy","disname":"U2000286_TFT5_Poppy_4","type":5,"block":3,"hp":600},{"name":"TFT5_Ziggs","disname":"U2000360_TFT5_Ziggs_4","type":5,"block":3,"hp":450},{"name":"TFT5_Olaf","disname":"U2000393_TFT5_Olaf_5","type":5,"block":3,"hp":1170},{"name":"TFT5_Kled","disname":"U2000271_TFT5_Kled_4","type":5,"block":6,"hp":400},{"name":"TFT5_Poppy","disname":"U2000281_TFT5_Poppy_3","type":5,"block":6,"hp":600},{"name":"TFT5_Ziggs","disname":"U2000362_TFT5_Ziggs_4","type":5,"block":6,"hp":450},{"name":"TFT5_Kennen","disname":"U2000615_TFT5_Kennen_2","type":5,"block":6,"hp":600},{"name":"TFT5_Irelia","disname":"U2000710_TFT5_Irelia_1","type":5,"block":5,"hp":750},{"name":"TFT5_Irelia","disname":"U2000697_TFT5_Irelia_1","type":5,"block":0,"hp":750},{"name":"TFT5_Varus","disname":"U2000454_TFT5_Varus_1","type":5,"block":0,"hp":600},{"name":"TFT5_Irelia","disname":"U2000703_TFT5_Irelia_1","type":5,"block":8,"hp":900},{"name":"TFT5_Senna","disname":"U2000375_TFT5_Senna_1","type":5,"block":7,"hp":500},{"name":"TFT5_Tristana","disname":"U2000736_TFT5_Tristana_1","type":5,"block":0,"hp":550},{"name":"TFT5_Khazix","disname":"U2000230_TFT5_Khazix_1","type":5,"block":5,"hp":500},{"name":"TFT5_Kennen","disname":"U2000623_TFT5_Kennen_1","type":5,"block":2,"hp":600},{"name":"TFT5_Ashe","disname":"U2000829_TFT5_Ashe_1","type":5,"block":8,"hp":550},{"name":"TFT5_Tristana","disname":"U2000728_TFT5_Tristana_1","type":5,"block":6,"hp":550},{"name":"TFT5_Pyke","disname":"U2000564_TFT5_Pyke_1","type":5,"block":3,"hp":650},{"name":"TFT5_Soraka","disname":"U2000486_TFT5_Soraka_1","type":5,"block":6,"hp":550},{"name":"TFT5_Ashe","disname":"U2000833_TFT5_Ashe_1","type":5,"block":8,"hp":550},{"name":"TFT5_Riven","disname":"U2000739_TFT5_Riven_1","type":5,"block":2,"hp":850},{"name":"TFT5_Riven","disname":"U2000742_TFT5_Riven_1","type":5,"block":2,"hp":850}]}</t>
  </si>
  <si>
    <t>{"success":true,"code":200,"msg":"鎴愬姛","data":[{"fit":0,"name":"TFTChampion","disname":"Dawsonhu","type":3,"block":7,"hp":100},{"fit":0,"name":"TFTChampion","disname":"棣ㄩ泚鍊惧浗鍊惧煄","type":3,"block":8,"hp":100},{"fit":0,"name":"TFTChampion","disname":"瀵归潰5涓嫍褰?,"type":3,"block":5,"hp":100},{"fit":0,"name":"TFTChampion","disname":"鍙间笣鐨勭埍12138","type":3,"block":1,"hp":100},{"fit":0,"name":"TFTChampion","disname":"浣犵伂瓒呯伂鐖?,"type":3,"block":0,"hp":100},{"fit":0,"name":"TFTChampion","disname":"Sove闂檽","type":3,"block":3,"hp":100},{"fit":0,"name":"TFTChampion","disname":"濂逛笌妯辫姳鐨嗚惤w","type":3,"block":6,"hp":100},{"name":"TFT5_Lux","disname":"U2000804_TFT5_Lux_1","type":5,"block":8,"hp":600},{"name":"TFT5_Lulu","disname":"U2000779_TFT5_Lulu_1","type":5,"block":8,"hp":650},{"name":"TFT5_Nidalee","disname":"U2000899_TFT5_Nidalee_1","type":5,"block":2,"hp":800},{"name":"TFT5_Nautilus","disname":"U2000638_TFT5_Nautilus_1","type":5,"block":2,"hp":750},{"name":"TFT5_Zyra","disname":"U2000847_TFT5_Zyra_1","type":5,"block":1,"hp":600},{"name":"TFT5_Aatrox","disname":"U2000073_TFT5_Aatrox_3","type":5,"block":7,"hp":800},{"name":"TFT5_Kled","disname":"U2000247_TFT5_Kled_3","type":5,"block":8,"hp":400},{"name":"TFT5_Vayne","disname":"U2000102_TFT5_Vayne_3","type":5,"block":5,"hp":500},{"name":"TFT5_Poppy","disname":"U2000276_TFT5_Poppy_3","type":5,"block":2,"hp":600},{"name":"TFT5_Ziggs","disname":"U2000334_TFT5_Ziggs_3","type":5,"block":1,"hp":450},{"name":"TFT5_Gragas","disname":"U2000305_TFT5_Gragas_3","type":5,"block":0,"hp":750},{"name":"TFT5_Vladimir","disname":"U2000189_TFT5_Vladimir_3","type":5,"block":3,"hp":650},{"name":"TFT5_Kalista","disname":"U2000421_TFT5_Kalista_3","type":5,"block":6,"hp":500}]}</t>
  </si>
  <si>
    <t>{"success":true,"code":200,"msg":"鎴愬姛","data":[{"fit":0,"name":"TFTChampion","disname":"Dawsonhu","type":3,"block":7,"hp":96},{"fit":0,"name":"TFTChampion","disname":"棣ㄩ泚鍊惧浗鍊惧煄","type":3,"block":8,"hp":100},{"fit":0,"name":"TFTChampion","disname":"瀵归潰5涓嫍褰?,"type":3,"block":5,"hp":94},{"fit":0,"name":"TFTChampion","disname":"鍙间笣鐨勭埍12138","type":3,"block":1,"hp":100},{"fit":1,"name":"TFTChampion","disname":"浣犵伂瓒呯伂鐖?,"type":3,"block":0,"hp":92},{"fit":1,"name":"TFTChampion","disname":"Sove闂檽","type":3,"block":3,"hp":94},{"fit":0,"name":"TFTChampion","disname":"濂逛笌妯辫姳鐨嗚惤w","type":3,"block":6,"hp":100},{"name":"TFT5_Nautilus","disname":"U2000638_TFT5_Nautilus_1","type":5,"block":2,"hp":750},{"name":"TFT5_Aatrox","disname":"U2000074_TFT5_Aatrox_1","type":5,"block":6,"hp":650},{"name":"TFT5_Kled","disname":"U2000265_TFT5_Kled_1","type":5,"block":2,"hp":400},{"name":"TFT5_Vladimir","disname":"U2000193_TFT5_Vladimir_2","type":5,"block":5,"hp":650},{"name":"TFT5_Udyr","disname":"U2000175_TFT5_Udyr_2","type":5,"block":0,"hp":700},{"name":"TFT5_Aatrox","disname":"U2000082_TFT5_Aatrox_1","type":5,"block":8,"hp":650},{"name":"TFT5_Irelia","disname":"U2000703_TFT5_Irelia_1","type":5,"block":1,"hp":750},{"name":"TFT5_Udyr","disname":"U2000186_TFT5_Udyr_1","type":5,"block":8,"hp":700},{"name":"TFT5_Ziggs","disname":"U2000335_TFT5_Ziggs_1","type":5,"block":8,"hp":450},{"name":"TFT5_Udyr","disname":"U2000184_TFT5_Udyr_1","type":5,"block":2,"hp":700},{"name":"TFT5_Lux","disname":"U2000805_TFT5_Lux_1","type":5,"block":7,"hp":600},{"name":"TFT5_Ziggs","disname":"U2000351_TFT5_Ziggs_1","type":5,"block":2,"hp":450},{"name":"TFT5_Khazix","disname":"U2000233_TFT5_Khazix_2","type":5,"block":7,"hp":500},{"name":"TFT5_Olaf","disname":"U2000396_TFT5_Olaf_2","type":5,"block":8,"hp":650},{"name":"TFT5_Sejuani","disname":"U2000591_TFT5_Sejuani_1","type":5,"block":3,"hp":750},{"name":"TFT5_Vladimir","disname":"U2000210_TFT5_Vladimir_1","type":5,"block":7,"hp":650},{"name":"TFT5_Ziggs","disname":"U2000357_TFT5_Ziggs_1","type":5,"block":8,"hp":450},{"name":"TFT5_Aatrox","disname":"U2000086_TFT5_Aatrox_1","type":5,"block":3,"hp":650},{"name":"TFT5_Aatrox","disname":"U2000090_TFT5_Aatrox_1","type":5,"block":3,"hp":650},{"name":"TFT5_Olaf","disname":"U2000412_TFT5_Olaf_1","type":5,"block":3,"hp":650},{"name":"TFT5_Khazix","disname":"U2000221_TFT5_Khazix_1","type":5,"block":3,"hp":500},{"name":"TFT5_Leona","disname":"U2000133_TFT5_Leona_1","type":5,"block":1,"hp":700},{"name":"TFT5_Khazix","disname":"U2000218_TFT5_Khazix_4","type":5,"block":7,"hp":500},{"name":"TFT5_Gragas","disname":"U2000324_TFT5_Gragas_3","type":5,"block":7,"hp":1500},{"name":"TFT5_Nocturne","disname":"U2000948_TFT5_Nocturne_2","type":5,"block":7,"hp":650},{"name":"TFT5_Aatrox","disname":"U2000094_TFT5_Aatrox_3","type":5,"block":8,"hp":1170},{"name":"TFT5_Kled","disname":"U2000247_TFT5_Kled_6","type":5,"block":8,"hp":720},{"name":"TFT5_Tristana","disname":"U2000735_TFT5_Tristana_2","type":5,"block":8,"hp":550},{"name":"TFT5_Vayne","disname":"U2000105_TFT5_Vayne_4","type":5,"block":5,"hp":500},{"name":"TFT5_Leona","disname":"U2000134_TFT5_Leona_4","type":5,"block":5,"hp":700},{"name":"TFT5_Poppy","disname":"U2000286_TFT5_Poppy_4","type":5,"block":5,"hp":600},{"name":"TFT5_Gragas","disname":"U2000333_TFT5_Gragas_2","type":5,"block":2,"hp":750},{"name":"TFT5_Olaf","disname":"U2000393_TFT5_Olaf_4","type":5,"block":2,"hp":1170},{"name":"TFT5_Kennen","disname":"U2000621_TFT5_Kennen_3","type":5,"block":2,"hp":600},{"name":"TFT5_Nidalee","disname":"U2000899_TFT5_Nidalee_4","type":5,"block":2,"hp":800},{"name":"TFT5_Leona","disname":"U2000139_TFT5_Leona_3","type":5,"block":1,"hp":700},{"name":"TFT5_Khazix","disname":"U2000246_TFT5_Khazix_4","type":5,"block":1,"hp":500},{"name":"TFT5_Poppy","disname":"U2000280_TFT5_Poppy_5","type":5,"block":1,"hp":1080},{"name":"TFT5_Ziggs","disname":"U2000334_TFT5_Ziggs_7","type":5,"block":1,"hp":450},{"name":"TFT5_Gragas","disname":"U2000305_TFT5_Gragas_5","type":5,"block":0,"hp":1150},{"name":"TFT5_Kalista","disname":"U2000438_TFT5_Kalista_2","type":5,"block":0,"hp":500},{"name":"TFT5_Sett","disname":"U2000671_TFT5_Sett_2","type":5,"block":0,"hp":1150},{"name":"TFT5_Vladimir","disname":"U2000189_TFT5_Vladimir_7","type":5,"block":3,"hp":1170},{"name":"TFT5_Sejuani","disname":"U2000597_TFT5_Sejuani_4","type":5,"block":3,"hp":1150},{"name":"TFT5_Sett","disname":"U2000688_TFT5_Sett_3","type":5,"block":3,"hp":1150},{"name":"TFT5_Aatrox","disname":"U2000080_TFT5_Aatrox_5","type":5,"block":6,"hp":650},{"name":"TFT5_Kalista","disname":"U2000434_TFT5_Kalista_3","type":5,"block":6,"hp":500},{"name":"TFT5_Brand","disname":"U2000529_TFT5_Brand_3","type":5,"block":6,"hp":600},{"name":"TFT5_Nunu","disname":"U2000866_TFT5_Nunu_4","type":5,"block":6,"hp":900},{"name":"TFT5_Nautilus","disname":"U2000640_TFT5_Nautilus_1","type":5,"block":1,"hp":750},{"name":"TFT5_Gragas","disname":"U2000327_TFT5_Gragas_1","type":5,"block":0,"hp":750}]}</t>
  </si>
  <si>
    <t>me</t>
  </si>
  <si>
    <t>other</t>
  </si>
  <si>
    <t>{"success":true,"code":200,"msg":"鎴愬姛","data":["Sold","TFT5_Vayne","TFT5_Ziggs","TFT5_Gragas","TFT5_Poppy"]}</t>
  </si>
  <si>
    <t>{"success":true,"code":200,"msg":"鎴愬姛","data":[{"isme":true,"zt":5,"fit":0,"name":"TFTChampion","disname":"AlphaChess","type":3,"block":6,"hp":100},{"fit":0,"name":"TFTChampion","disname":"铏氱┖涔嬪コ涓惰嫃鏌掓煉","type":3,"block":7,"hp":86},{"fit":0,"name":"TFTChampion","disname":"MMM涓禼hersh","type":3,"block":8,"hp":100},{"fit":1,"name":"TFTChampion","disname":"AlfhYr","type":3,"block":5,"hp":94},{"fit":0,"name":"TFTChampion","disname":"椴滆姳鍚戝乏UZI鍚戝彸","type":3,"block":2,"hp":100},{"fit":0,"name":"TFTChampion","disname":"闅愯棌鍦ㄨ矾浜轰腑鐨?L","type":3,"block":1,"hp":90},{"fit":0,"name":"TFTChampion","disname":"f鑴炬皵z鏈夌偣l灏忔毚","type":3,"block":0,"hp":94},{"fit":1,"name":"TFTChampion","disname":"A瓒呰秺杩囧幓A","type":3,"block":3,"hp":92},{"name":"TFT5_Aatrox","disname":"U2000076_TFT5_Aatrox_1","type":5,"block":2,"hp":650},{"name":"TFT5_Leona","disname":"U2000140_TFT5_Leona_1","type":5,"block":0,"hp":700},{"name":"TFT5_Irelia","disname":"U2000712_TFT5_Irelia_1","type":5,"block":8,"hp":750},{"name":"TFT5_Poppy","disname":"U2000297_TFT5_Poppy_1","type":5,"block":8,"hp":600},{"name":"TFT5_Poppy","disname":"U2000296_TFT5_Poppy_1","type":5,"block":8,"hp":600},{"name":"TFT5_Irelia","disname":"U2000700_TFT5_Irelia_2","type":5,"block":8,"hp":750},{"name":"TFT5_Pyke","disname":"U2000567_TFT5_Pyke_2","type":5,"block":5,"hp":650},{"name":"TFT5_Brand","disname":"U2000517_TFT5_Brand_1","type":5,"block":1,"hp":600},{"name":"TFT5_Leona","disname":"U2000156_TFT5_Leona_1","type":5,"block":2,"hp":700},{"name":"TFT5_Sett","disname":"U2000685_TFT5_Sett_1","type":5,"block":5,"hp":750},{"name":"TFT5_Udyr","disname":"U2000188_TFT5_Udyr_1","type":5,"block":3,"hp":700},{"name":"TFT5_Syndra","disname":"U2000503_TFT5_Syndra_1","type":5,"block":6,"hp":600},{"name":"TFT5_Kennen","disname":"U2000620_TFT5_Kennen_1","type":5,"block":6,"hp":600},{"name":"TFT5_Thresh","disname":"U2000657_TFT5_Thresh_1","type":5,"block":8,"hp":800},{"name":"TFT5_Syndra","disname":"U2000496_TFT5_Syndra_2","type":5,"block":8,"hp":600},{"name":"TFT5_MissFortune","disname":"U2000925_TFT5_MissFortune_3","type":5,"block":2,"hp":700},{"name":"TFT5_Thresh","disname":"U2000670_TFT5_Thresh_1","type":5,"block":0,"hp":800},{"name":"TFT5_Kennen","disname":"U2000617_TFT5_Kennen_1","type":5,"block":0,"hp":600},{"name":"TFT5_Irelia","disname":"U2000714_TFT5_Irelia_1","type":5,"block":6,"hp":750},{"name":"TFT5_Leona","disname":"U2000136_TFT5_Leona_1","type":5,"block":0,"hp":700},{"name":"TFT5_Vladimir","disname":"U2000199_TFT5_Vladimir_1","type":5,"block":5,"hp":650},{"name":"TFT5_Vladimir","disname":"U2000211_TFT5_Vladimir_1","type":5,"block":5,"hp":650},{"name":"TFT5_Vladimir","disname":"U2000215_TFT5_Vladimir_1","type":5,"block":3,"hp":650},{"name":"TFT5_Aatrox","disname":"U2000092_TFT5_Aatrox_1","type":5,"block":0,"hp":650},{"name":"TFT5_Irelia","disname":"U2000710_TFT5_Irelia_1","type":5,"block":5,"hp":750},{"name":"TFT5_Kalista","disname":"U2000424_TFT5_Kalista_3","type":5,"block":1,"hp":500},{"name":"TFT5_Kled","disname":"U2000252_TFT5_Kled_3","type":5,"block":3,"hp":720},{"name":"TFT5_Senna","disname":"U2000379_TFT5_Senna_1","type":5,"block":2,"hp":500},{"name":"TFT5_Brand","disname":"U2000530_TFT5_Brand_1","type":5,"block":2,"hp":600},{"name":"TFT5_Udyr","disname":"U2000172_TFT5_Udyr_1","type":5,"block":8,"hp":700},{"name":"TFT5_Kennen","disname":"U2000624_TFT5_Kennen_1","type":5,"block":8,"hp":600},{"name":"TFT5_Thresh","disname":"U2000663_TFT5_Thresh_1","type":5,"block":8,"hp":800},{"name":"TFT5_Pyke","disname":"U2000564_TFT5_Pyke_1","type":5,"block":3,"hp":650},{"name":"TFT5_Gragas","disname":"U2000323_TFT5_Gragas_1","type":5,"block":3,"hp":750},{"name":"TFT5_Vayne","disname":"U2000116_TFT5_Vayne_1","type":5,"block":3,"hp":500},{"name":"TFT5_Aatrox","disname":"U2000087_TFT5_Aatrox_6","type":5,"block":7,"hp":650},{"name":"TFT5_Senna","disname":"U2000365_TFT5_Senna_7","type":5,"block":7,"hp":500},{"name":"TFT5_Olaf","disname":"U2000394_TFT5_Olaf_5","type":5,"block":7,"hp":650},{"name":"TFT5_Nautilus","disname":"U2000646_TFT5_Nautilus_3","type":5,"block":7,"hp":750},{"name":"TFT5_Aatrox","disname":"U2000086_TFT5_Aatrox_5","type":5,"block":8,"hp":650},{"name":"TFT5_Vayne","disname":"U2000128_TFT5_Vayne_5","type":5,"block":8,"hp":500},{"name":"TFT5_Leona","disname":"U2000137_TFT5_Leona_6","type":5,"block":8,"hp":700},{"name":"TFT5_Varus","disname":"U2000456_TFT5_Varus_6","type":5,"block":8,"hp":600},{"name":"TFT5_Vladimir","disname":"U2000197_TFT5_Vladimir_4","type":5,"block":5,"hp":2170},{"name":"TFT5_Sejuani","disname":"U2000603_TFT5_Sejuani_5","type":5,"block":5,"hp":1150},{"name":"TFT5_Sett","disname":"U2000691_TFT5_Sett_5","type":5,"block":5,"hp":1150},{"name":"TFT5_Aatrox","disname":"U2000077_TFT5_Aatrox_3","type":5,"block":2,"hp":650},{"name":"TFT5_Kalista","disname":"U2000423_TFT5_Kalista_3","type":5,"block":2,"hp":500},{"name":"TFT5_Hecarim","disname":"U2000540_TFT5_Hecarim_3","type":5,"block":2,"hp":750},{"name":"TFT5_Thresh","disname":"U2000668_TFT5_Thresh_3","type":5,"block":2,"hp":800},{"name":"TFT5_Leona","disname":"U2000150_TFT5_Leona_2","type":5,"block":1,"hp":700},{"name":"TFT5_Kalista","disname":"U2000421_TFT5_Kalista_7","type":5,"block":1,"hp":900},{"name":"TFT5_Varus","disname":"U2000462_TFT5_Varus_2","type":5,"block":1,"hp":600},{"name":"TFT5_Udyr","disname":"U2000162_TFT5_Udyr_5","type":5,"block":0,"hp":700},{"name":"TFT5_Olaf","disname":"U2000415_TFT5_Olaf_3","type":5,"block":0,"hp":650},{"name":"TFT5_Irelia","disname":"U2000709_TFT5_Irelia_5","type":5,"block":0,"hp":750},{"name":"TFT5_Vladimir","disname":"U2000213_TFT5_Vladimir_5","type":5,"block":3,"hp":650},{"name":"TFT5_Sejuani","disname":"U2000589_TFT5_Sejuani_2","type":5,"block":3,"hp":750},{"name":"TFT5_Sejuani","disname":"U2000598_TFT5_Sejuani_4","type":5,"block":3,"hp":750},{"name":"TFT5_Senna","disname":"U2000364_TFT5_Senna_5","type":5,"block":6,"hp":500},{"name":"TFT5_Olaf","disname":"U2000395_TFT5_Olaf_6","type":5,"block":6,"hp":1170},{"name":"TFT5_Kennen","disname":"U2000622_TFT5_Kennen_2","type":5,"block":6,"hp":1080},{"name":"TFT5_Irelia","disname":"U2000699_TFT5_Irelia_5","type":5,"block":6,"hp":750},{"name":"TFT5_Poppy","disname":"U2000289_TFT5_Poppy_1","type":5,"block":0,"hp":600},{"name":"TFT5_Kalista","disname":"U2000442_TFT5_Kalista_1","type":5,"block":1,"hp":500},{"name":"TFT5_Kennen","disname":"U2000626_TFT5_Kennen_1","type":5,"block":6,"hp":600},{"name":"TFT5_Sejuani","disname":"U2000585_TFT5_Sejuani_1","type":5,"block":5,"hp":750}]}</t>
  </si>
  <si>
    <t>{"success":true,"code":200,"msg":"鎴愬姛","data":["Sold","TFT5_Zyra","TFT5_Vayne","TFT5_Sett","TFT5_Udyr"]}</t>
  </si>
  <si>
    <t>{"success":true,"code":200,"msg":"鎴愬姛","data":[{"isme":true,"zt":5,"fit":0,"name":"TFTChampion","disname":"AlphaChess","type":3,"block":6,"hp":100},{"fit":1,"name":"TFTChampion","disname":"铏氱┖涔嬪コ涓惰嫃鏌掓煉","type":3,"block":7,"hp":76},{"fit":0,"name":"TFTChampion","disname":"MMM涓禼hersh","type":3,"block":8,"hp":86},{"fit":1,"name":"TFTChampion","disname":"AlfhYr","type":3,"block":5,"hp":94},{"fit":0,"name":"TFTChampion","disname":"椴滆姳鍚戝乏UZI鍚戝彸","type":3,"block":2,"hp":90},{"fit":1,"name":"TFTChampion","disname":"闅愯棌鍦ㄨ矾浜轰腑鐨?L","type":3,"block":1,"hp":78},{"fit":1,"name":"TFTChampion","disname":"f鑴炬皵z鏈夌偣l灏忔毚","type":3,"block":0,"hp":76},{"fit":1,"name":"TFTChampion","disname":"A瓒呰秺杩囧幓A","type":3,"block":3,"hp":88},{"name":"TFT5_Irelia","disname":"U2000700_TFT5_Irelia_2","type":5,"block":8,"hp":750},{"name":"TFT5_Leona","disname":"U2000156_TFT5_Leona_1","type":5,"block":2,"hp":700},{"name":"TFT5_Irelia","disname":"U2000714_TFT5_Irelia_1","type":5,"block":6,"hp":750},{"name":"TFT5_Aatrox","disname":"U2000092_TFT5_Aatrox_1","type":5,"block":0,"hp":650},{"name":"TFT5_Irelia","disname":"U2000710_TFT5_Irelia_1","type":5,"block":5,"hp":750},{"name":"TFT5_Thresh","disname":"U2000668_TFT5_Thresh_3","type":5,"block":2,"hp":800},{"name":"TFT5_Sejuani","disname":"U2000589_TFT5_Sejuani_2","type":5,"block":3,"hp":750},{"name":"TFT5_Sejuani","disname":"U2000585_TFT5_Sejuani_1","type":5,"block":5,"hp":750},{"name":"TFT5_Nautilus","disname":"U2000631_TFT5_Nautilus_1","type":5,"block":2,"hp":750},{"name":"TFT5_Aatrox","disname":"U2000088_TFT5_Aatrox_1","type":5,"block":8,"hp":650},{"name":"TFT5_Senna","disname":"U2000374_TFT5_Senna_1","type":5,"block":7,"hp":500},{"name":"TFT5_Aatrox","disname":"U2000077_TFT5_Aatrox_5","type":5,"block":2,"hp":650},{"name":"TFT5_Sejuani","disname":"U2000598_TFT5_Sejuani_5","type":5,"block":3,"hp":750},{"name":"TFT5_Olaf","disname":"U2000401_TFT5_Olaf_1","type":5,"block":5,"hp":650},{"name":"TFT5_Lux","disname":"U2000806_TFT5_Lux_1","type":5,"block":2,"hp":600},{"name":"TFT5_Nautilus","disname":"U2000646_TFT5_Nautilus_6","type":5,"block":7,"hp":750},{"name":"TFT5_Senna","disname":"U2000379_TFT5_Senna_5","type":5,"block":2,"hp":500},{"name":"TFT5_Tristana","disname":"U2000728_TFT5_Tristana_3","type":5,"block":6,"hp":700},{"name":"TFT5_Nautilus","disname":"U2000647_TFT5_Nautilus_1","type":5,"block":2,"hp":750},{"name":"TFT5_Hecarim","disname":"U2000556_TFT5_Hecarim_1","type":5,"block":3,"hp":750},{"name":"TFT5_Nautilus","disname":"U2000628_TFT5_Nautilus_1","type":5,"block":8,"hp":750},{"name":"TFT5_Nidalee","disname":"U2000890_TFT5_Nidalee_1","type":5,"block":5,"hp":800},{"name":"TFT5_Udyr","disname":"U2000161_TFT5_Udyr_1","type":5,"block":3,"hp":700},{"name":"TFT5_Poppy","disname":"U2000277_TFT5_Poppy_1","type":5,"block":3,"hp":600},{"name":"TFT5_Udyr","disname":"U2000177_TFT5_Udyr_1","type":5,"block":3,"hp":700},{"name":"TFT5_Udyr","disname":"U2000166_TFT5_Udyr_2","type":5,"block":7,"hp":700},{"name":"TFT5_Senna","disname":"U2000365_TFT5_Senna_11","type":5,"block":7,"hp":500},{"name":"TFT5_Olaf","disname":"U2000394_TFT5_Olaf_9","type":5,"block":7,"hp":650},{"name":"TFT5_Sejuani","disname":"U2000583_TFT5_Sejuani_4","type":5,"block":7,"hp":750},{"name":"TFT5_LeeSin","disname":"U2000772_TFT5_LeeSin_2","type":5,"block":7,"hp":850},{"name":"TFT5_Aatrox","disname":"U2000086_TFT5_Aatrox_10","type":5,"block":8,"hp":650},{"name":"TFT5_Leona","disname":"U2000137_TFT5_Leona_11","type":5,"block":8,"hp":700},{"name":"TFT5_Varus","disname":"U2000452_TFT5_Varus_6","type":5,"block":8,"hp":1080},{"name":"TFT5_Irelia","disname":"U2000712_TFT5_Irelia_5","type":5,"block":8,"hp":750},{"name":"TFT5_Ashe","disname":"U2000843_TFT5_Ashe_5","type":5,"block":8,"hp":550},{"name":"TFT5_Vladimir","disname":"U2000197_TFT5_Vladimir_9","type":5,"block":5,"hp":2170},{"name":"TFT5_Hecarim","disname":"U2000539_TFT5_Hecarim_6","type":5,"block":5,"hp":750},{"name":"TFT5_Sejuani","disname":"U2000603_TFT5_Sejuani_10","type":5,"block":5,"hp":1150},{"name":"TFT5_Sett","disname":"U2000691_TFT5_Sett_10","type":5,"block":5,"hp":1150},{"name":"TFT5_Rakan","disname":"U2000813_TFT5_Rakan_6","type":5,"block":5,"hp":800},{"name":"TFT5_Aatrox","disname":"U2000076_TFT5_Aatrox_3","type":5,"block":2,"hp":650},{"name":"TFT5_Kalista","disname":"U2000423_TFT5_Kalista_7","type":5,"block":2,"hp":500},{"name":"TFT5_Brand","disname":"U2000530_TFT5_Brand_5","type":5,"block":2,"hp":600},{"name":"TFT5_Zyra","disname":"U2000851_TFT5_Zyra_3","type":5,"block":2,"hp":600},{"name":"TFT5_Nunu","disname":"U2000864_TFT5_Nunu_6","type":5,"block":2,"hp":900},{"name":"TFT5_Aatrox","disname":"U2000073_TFT5_Aatrox_3","type":5,"block":1,"hp":1170},{"name":"TFT5_Leona","disname":"U2000150_TFT5_Leona_5","type":5,"block":1,"hp":700},{"name":"TFT5_Kalista","disname":"U2000421_TFT5_Kalista_10","type":5,"block":1,"hp":900},{"name":"TFT5_Varus","disname":"U2000462_TFT5_Varus_5","type":5,"block":1,"hp":600},{"name":"TFT5_Udyr","disname":"U2000162_TFT5_Udyr_9","type":5,"block":0,"hp":700},{"name":"TFT5_Olaf","disname":"U2000415_TFT5_Olaf_7","type":5,"block":0,"hp":650},{"name":"TFT5_Kennen","disname":"U2000617_TFT5_Kennen_7","type":5,"block":0,"hp":600},{"name":"TFT5_Irelia","disname":"U2000709_TFT5_Irelia_9","type":5,"block":0,"hp":750},{"name":"TFT5_Vayne","disname":"U2000107_TFT5_Vayne_5","type":5,"block":3,"hp":500},{"name":"TFT5_Kled","disname":"U2000252_TFT5_Kled_7","type":5,"block":3,"hp":720},{"name":"TFT5_Varus","disname":"U2000451_TFT5_Varus_5","type":5,"block":3,"hp":600},{"name":"TFT5_Hecarim","disname":"U2000557_TFT5_Hecarim_4","type":5,"block":3,"hp":750},{"name":"TFT5_Senna","disname":"U2000364_TFT5_Senna_10","type":5,"block":6,"hp":500},{"name":"TFT5_Olaf","disname":"U2000395_TFT5_Olaf_11","type":5,"block":6,"hp":1170},{"name":"TFT5_Kennen","disname":"U2000622_TFT5_Kennen_7","type":5,"block":6,"hp":1080},{"name":"TFT5_Irelia","disname":"U2000699_TFT5_Irelia_10","type":5,"block":6,"hp":750},{"name":"TFT5_Tristana","disname":"U2000727_TFT5_Tristana_3","type":5,"block":6,"hp":550},{"name":"TFT5_Olaf","disname":"U2000418_TFT5_Olaf_1","type":5,"block":6,"hp":650},{"name":"TFT5_Leona","disname":"U2000153_TFT5_Leona_1","type":5,"block":1,"hp":700},{"name":"TFT5_Brand","disname":"U2000519_TFT5_Brand_1","type":5,"block":2,"hp":600},{"name":"TFT5_Nautilus","disname":"U2000648_TFT5_Nautilus_2","type":5,"block":8,"hp":750},{"name":"TFT5_Varus","disname":"U2000464_TFT5_Varus_1","type":5,"block":8,"hp":600},{"name":"TFT5_Ziggs","disname":"U2000337_TFT5_Ziggs_1","type":5,"block":1,"hp":450},{"name":"TFT5_Kled","disname":"U2000271_TFT5_Kled_1","type":5,"block":1,"hp":400}]}</t>
  </si>
  <si>
    <t>{"success":true,"code":200,"msg":"鎴愬姛","data":["TFT5_Draven","TFT5_Velkoz","TFT5_Riven","TFT5_Karma","Sold"]}</t>
  </si>
  <si>
    <t>{"success":true,"code":200,"msg":"鎴愬姛","data":[{"isme":true,"zt":5,"fit":0,"name":"TFTChampion","disname":"AlphaChess","type":3,"block":6,"hp":75},{"fit":2,"name":"TFTChampion","disname":"铏氱┖涔嬪コ涓惰嫃鏌掓煉","type":3,"block":7,"hp":38},{"fit":2,"name":"TFTChampion","disname":"MMM涓禼hersh","type":3,"block":8,"hp":22},{"fit":1,"name":"TFTChampion","disname":"AlfhYr","type":3,"block":5,"hp":67},{"fit":2,"name":"TFTChampion","disname":"椴滆姳鍚戝乏UZI鍚戝彸","type":3,"block":2,"hp":41},{"fit":2,"name":"TFTChampion","disname":"闅愯棌鍦ㄨ矾浜轰腑鐨?L","type":3,"block":1,"hp":60},{"fit":2,"name":"TFTChampion","disname":"f鑴炬皵z鏈夌偣l灏忔毚","type":3,"block":0,"hp":12},{"fit":3,"name":"TFTChampion","disname":"A瓒呰秺杩囧幓A","type":3,"block":3,"hp":38},{"name":"TFT5_Aatrox","disname":"U2000088_TFT5_Aatrox_1","type":5,"block":8,"hp":650},{"name":"TFT5_Olaf","disname":"U2000418_TFT5_Olaf_1","type":5,"block":6,"hp":650},{"name":"TFT5_EmblemArmoryKey","disname":"U2001374_TFT5_EmblemArmoryKey_1","type":5,"block":7,"hp":10},{"name":"TFT5_Kled","disname":"U2000256_TFT5_Kled_1","type":5,"block":3,"hp":400},{"name":"TFT5_Irelia","disname":"U2000700_TFT5_Irelia_5","type":5,"block":5,"hp":750},{"name":"TFT5_Olaf","disname":"U2000412_TFT5_Olaf_1","type":5,"block":6,"hp":650},{"name":"TFT5_Nautilus","disname":"U2000635_TFT5_Nautilus_1","type":5,"block":7,"hp":1350},{"name":"TFT5_Soraka","disname":"U2000493_TFT5_Soraka_2","type":5,"block":3,"hp":550},{"name":"TFT5_Varus","disname":"U2000470_TFT5_Varus_1","type":5,"block":8,"hp":600},{"name":"TFT5_Varus","disname":"U2000460_TFT5_Varus_1","type":5,"block":8,"hp":600},{"name":"TFT5_Irelia","disname":"U2000706_TFT5_Irelia_1","type":5,"block":6,"hp":750},{"name":"TFT5_Sejuani","disname":"U2000584_TFT5_Sejuani_1","type":5,"block":3,"hp":750},{"name":"TFT5_Draven","disname":"U2001076_TFT5_Draven_1","type":5,"block":8,"hp":700},{"name":"TFT5_Irelia","disname":"U2000703_TFT5_Irelia_1","type":5,"block":6,"hp":750},{"name":"TFT5_Irelia","disname":"U2000702_TFT5_Irelia_1","type":5,"block":2,"hp":750},{"name":"TFT5_Akshan","disname":"U2001154_TFT5_Akshan_1","type":5,"block":8,"hp":850},{"name":"TFT5_Lulu","disname":"U2000783_TFT5_Lulu_1","type":5,"block":0,"hp":650},{"name":"TFT5_Rell","disname":"U2000998_TFT5_Rell_2","type":5,"block":2,"hp":900},{"name":"TFT5_Soraka","disname":"U2000480_TFT5_Soraka_1","type":5,"block":3,"hp":550},{"name":"TFT5_Pyke","disname":"U2000561_TFT5_Pyke_1","type":5,"block":6,"hp":650},{"name":"TFT5_Vladimir","disname":"U2000195_TFT5_Vladimir_10","type":5,"block":3,"hp":1170},{"name":"TFT5_Yasuo","disname":"U2000915_TFT5_Yasuo_1","type":5,"block":0,"hp":800},{"name":"TFT5_Rakan","disname":"U2000826_TFT5_Rakan_2","type":5,"block":3,"hp":800},{"name":"TFT5_MissFortune","disname":"U2000922_TFT5_MissFortune_1","type":5,"block":2,"hp":700},{"name":"TFT5_Diana","disname":"U2001017_TFT5_Diana_1","type":5,"block":7,"hp":750},{"name":"TFT5_Tristana","disname":"U2000726_TFT5_Tristana_1","type":5,"block":2,"hp":550},{"name":"TFT5_Sejuani","disname":"U2000593_TFT5_Sejuani_1","type":5,"block":0,"hp":750},{"name":"TFT5_Rakan","disname":"U2000813_TFT5_Rakan_8","type":5,"block":2,"hp":800},{"name":"TFT5_Jax","disname":"U2000955_TFT5_Jax_4","type":5,"block":8,"hp":1000},{"name":"TFT5_Ivern","disname":"U2001049_TFT5_Ivern_1","type":5,"block":0,"hp":950},{"name":"TFT5_Galio","disname":"U2001034_TFT5_Galio_1","type":5,"block":8,"hp":1000},{"name":"TFT5_Galio","disname":"U2001029_TFT5_Galio_1","type":5,"block":2,"hp":1000},{"name":"TFT5_Kalista","disname":"U2000435_TFT5_Kalista_1","type":5,"block":3,"hp":500},{"name":"TFT5_Gragas","disname":"U2000311_TFT5_Gragas_1","type":5,"block":3,"hp":750},{"name":"TFT5_Fiddlesticks","disname":"U2001073_TFT5_Fiddlesticks_1","type":5,"block":0,"hp":800},{"name":"TFT5_Sejuani","disname":"U2000583_TFT5_Sejuani_21","type":5,"block":7,"hp":1350},{"name":"TFT5_Irelia","disname":"U2000704_TFT5_Irelia_14","type":5,"block":7,"hp":1350},{"name":"TFT5_LeeSin","disname":"U2000772_TFT5_LeeSin_19","type":5,"block":7,"hp":1530},{"name":"TFT5_Yasuo","disname":"U2000905_TFT5_Yasuo_13","type":5,"block":7,"hp":1440},{"name":"TFT5_Jax","disname":"U2000962_TFT5_Jax_3","type":5,"block":7,"hp":1000},{"name":"TFT5_Rell","disname":"U2001001_TFT5_Rell_5","type":5,"block":7,"hp":1620},{"name":"TFT5_Diana","disname":"U2001018_TFT5_Diana_13","type":5,"block":7,"hp":900},{"name":"TFT5_Aatrox","disname":"U2000086_TFT5_Aatrox_24","type":5,"block":8,"hp":650},{"name":"TFT5_Leona","disname":"U2000137_TFT5_Leona_25","type":5,"block":8,"hp":1260},{"name":"TFT5_Varus","disname":"U2000452_TFT5_Varus_20","type":5,"block":8,"hp":1080},{"name":"TFT5_Nautilus","disname":"U2000648_TFT5_Nautilus_16","type":5,"block":8,"hp":1350},{"name":"TFT5_Ashe","disname":"U2000843_TFT5_Ashe_19","type":5,"block":8,"hp":550},{"name":"TFT5_Jax","disname":"U2000965_TFT5_Jax_7","type":5,"block":8,"hp":1000},{"name":"TFT5_Draven","disname":"U2001083_TFT5_Draven_8","type":5,"block":8,"hp":700},{"name":"TFT5_Varus","disname":"U2000457_TFT5_Varus_14","type":5,"block":5,"hp":1080},{"name":"TFT5_Sejuani","disname":"U2000603_TFT5_Sejuani_26","type":5,"block":5,"hp":2350},{"name":"TFT5_LeeSin","disname":"U2000762_TFT5_LeeSin_6","type":5,"block":5,"hp":1530},{"name":"TFT5_Jax","disname":"U2000958_TFT5_Jax_5","type":5,"block":5,"hp":1000},{"name":"TFT5_Rell","disname":"U2000992_TFT5_Rell_5","type":5,"block":5,"hp":900},{"name":"TFT5_Diana","disname":"U2001026_TFT5_Diana_6","type":5,"block":5,"hp":750},{"name":"TFT5_Aphelios","disname":"U2001054_TFT5_Aphelios_5","type":5,"block":5,"hp":650},{"name":"TFT5_Senna","disname":"U2000368_TFT5_Senna_9","type":5,"block":2,"hp":900},{"name":"TFT5_Pyke","disname":"U2000576_TFT5_Pyke_4","type":5,"block":2,"hp":1170},{"name":"TFT5_Irelia","disname":"U2000712_TFT5_Irelia_13","type":5,"block":2,"hp":750},{"name":"TFT5_Rakan","disname":"U2000822_TFT5_Rakan_5","type":5,"block":2,"hp":1440},{"name":"TFT5_MissFortune","disname":"U2000926_TFT5_MissFortune_8","type":5,"block":2,"hp":1260},{"name":"TFT5_Lucian","disname":"U2000988_TFT5_Lucian_8","type":5,"block":2,"hp":1260},{"name":"TFT5_Galio","disname":"U2001036_TFT5_Galio_4","type":5,"block":2,"hp":1000},{"name":"TFT5_Aatrox","disname":"U2000073_TFT5_Aatrox_19","type":5,"block":1,"hp":2106},{"name":"TFT5_Leona","disname":"U2000150_TFT5_Leona_21","type":5,"block":1,"hp":2268},{"name":"TFT5_Poppy","disname":"U2000283_TFT5_Poppy_3","type":5,"block":1,"hp":600},{"name":"TFT5_Kalista","disname":"U2000421_TFT5_Kalista_26","type":5,"block":1,"hp":1620},{"name":"TFT5_Nautilus","disname":"U2000632_TFT5_Nautilus_15","type":5,"block":1,"hp":1350},{"name":"TFT5_Thresh","disname":"U2000657_TFT5_Thresh_7","type":5,"block":1,"hp":2592},{"name":"TFT5_Olaf","disname":"U2000415_TFT5_Olaf_21","type":5,"block":0,"hp":1170},{"name":"TFT5_Irelia","disname":"U2000709_TFT5_Irelia_23","type":5,"block":0,"hp":750},{"name":"TFT5_Riven","disname":"U2000755_TFT5_Riven_11","type":5,"block":0,"hp":1530},{"name":"TFT5_LeeSin","disname":"U2000758_TFT5_LeeSin_6","type":5,"block":0,"hp":1680},{"name":"TFT5_Nidalee","disname":"U2000897_TFT5_Nidalee_6","type":5,"block":0,"hp":800},{"name":"TFT5_MissFortune","disname":"U2000925_TFT5_MissFortune_16","type":5,"block":0,"hp":700},{"name":"TFT5_Jax","disname":"U2000961_TFT5_Jax_2","type":5,"block":0,"hp":1000},{"name":"TFT5_Lucian","disname":"U2000981_TFT5_Lucian_12","type":5,"block":0,"hp":700},{"name":"TFT5_Kled","disname":"U2000252_TFT5_Kled_24","type":5,"block":3,"hp":720},{"name":"TFT5_Hecarim","disname":"U2000557_TFT5_Hecarim_21","type":5,"block":3,"hp":2350},{"name":"TFT5_Sejuani","disname":"U2000590_TFT5_Sejuani_16","type":5,"block":3,"hp":1350},{"name":"TFT5_Rakan","disname":"U2000810_TFT5_Rakan_12","type":5,"block":3,"hp":800},{"name":"TFT5_MissFortune","disname":"U2000928_TFT5_MissFortune_11","type":5,"block":3,"hp":700},{"name":"TFT5_Ivern","disname":"U2001043_TFT5_Ivern_3","type":5,"block":3,"hp":950},{"name":"TFT5_Fiddlesticks","disname":"U2001070_TFT5_Fiddlesticks_6","type":5,"block":3,"hp":800},{"name":"TFT5_Senna","disname":"U2000364_TFT5_Senna_26","type":5,"block":6,"hp":900},{"name":"TFT5_Olaf","disname":"U2000395_TFT5_Olaf_27","type":5,"block":6,"hp":1170},{"name":"TFT5_Pyke","disname":"U2000575_TFT5_Pyke_10","type":5,"block":6,"hp":1170},{"name":"TFT5_Kennen","disname":"U2000622_TFT5_Kennen_23","type":5,"block":6,"hp":1080},{"name":"TFT5_Irelia","disname":"U2000699_TFT5_Irelia_26","type":5,"block":6,"hp":1650},{"name":"TFT5_Tristana","disname":"U2000725_TFT5_Tristana_8","type":5,"block":6,"hp":990},{"name":"TFT5_Rakan","disname":"U2000824_TFT5_Rakan_7","type":5,"block":6,"hp":1440},{"name":"TFT5_Galio","disname":"U2001030_TFT5_Galio_4","type":5,"block":6,"hp":1150},{"name":"TFT5_Rakan","disname":"U2000823_TFT5_Rakan_1","type":5,"block":6,"hp":800},{"name":"TFT5_MissFortune","disname":"U2000919_TFT5_MissFortune_1","type":5,"block":3,"hp":700},{"name":"TFT5_LeeSin","disname":"U2000763_TFT5_LeeSin_1","type":5,"block":0,"hp":850}]}</t>
  </si>
  <si>
    <t>{"success":true,"code":200,"msg":"鎴愬姛","data":["TFT5_Aatrox","TFT5_Irelia","TFT5_Udyr","TFT5_Vladimir","TFT5_Senna"]}</t>
  </si>
  <si>
    <t>{"success":true,"code":200,"msg":"鎴愬姛","data":["TFT5_Riven","TFT5_Vladimir","TFT5_Sett","TFT5_Nautilus","TFT5_Senna"]}</t>
  </si>
  <si>
    <t>{"success":true,"code":200,"msg":"鎴愬姛","data":[{"isme":true,"zt":5,"fit":0,"name":"TFTChampion","disname":"AlphaChess","type":3,"block":7,"hp":94},{"fit":0,"name":"TFTChampion","disname":"楂樿川閲忓瀮鍦?,"type":3,"block":8,"hp":94},{"fit":0,"name":"TFTChampion","disname":"濞佷俊浼?,"type":3,"block":5,"hp":78},{"fit":1,"name":"TFTChampion","disname":"Play鐏墤瀹?,"type":3,"block":2,"hp":92},{"fit":1,"name":"TFTChampion","disname":"鑽嗚讲鍒虹Е榛?,"type":3,"block":1,"hp":80},{"fit":1,"name":"TFTChampion","disname":"Eterna涓禸oshao","type":3,"block":0,"hp":84},{"fit":1,"name":"TFTChampion","disname":"BobcMc","type":3,"block":3,"hp":100},{"fit":1,"name":"TFTChampion","disname":"ZDR涓禩Z","type":3,"block":6,"hp":86},{"name":"TFT5_Udyr","disname":"U2000163_TFT5_Udyr_1","type":5,"block":3,"hp":700},{"name":"TFT5_Kled","disname":"U2000258_TFT5_Kled_1","type":5,"block":7,"hp":400},{"name":"TFT5_Rakan","disname":"U2000824_TFT5_Rakan_4","type":5,"block":7,"hp":800},{"name":"TFT5_Senna","disname":"U2000382_TFT5_Senna_1","type":5,"block":3,"hp":500},{"name":"TFT5_Gragas","disname":"U2000308_TFT5_Gragas_1","type":5,"block":2,"hp":750},{"name":"TFT5_Olaf","disname":"U2000417_TFT5_Olaf_5","type":5,"block":5,"hp":1170},{"name":"TFT5_Sejuani","disname":"U2000589_TFT5_Sejuani_3","type":5,"block":2,"hp":750},{"name":"TFT5_Syndra","disname":"U2000499_TFT5_Syndra_2","type":5,"block":1,"hp":1080},{"name":"TFT5_Varus","disname":"U2000452_TFT5_Varus_2","type":5,"block":7,"hp":600},{"name":"TFT5_Khazix","disname":"U2000245_TFT5_Khazix_1","type":5,"block":3,"hp":500},{"name":"TFT5_Thresh","disname":"U2000670_TFT5_Thresh_1","type":5,"block":0,"hp":800},{"name":"TFT5_Senna","disname":"U2000385_TFT5_Senna_1","type":5,"block":3,"hp":500},{"name":"TFT5_Poppy","disname":"U2000276_TFT5_Poppy_8","type":5,"block":7,"hp":600},{"name":"TFT5_Kalista","disname":"U2000425_TFT5_Kalista_8","type":5,"block":7,"hp":900},{"name":"TFT5_Tristana","disname":"U2000731_TFT5_Tristana_5","type":5,"block":7,"hp":550},{"name":"TFT5_Yasuo","disname":"U2000910_TFT5_Yasuo_8","type":5,"block":7,"hp":800},{"name":"TFT5_Vayne","disname":"U2000113_TFT5_Vayne_6","type":5,"block":8,"hp":500},{"name":"TFT5_Hecarim","disname":"U2000543_TFT5_Hecarim_8","type":5,"block":8,"hp":1350},{"name":"TFT5_Thresh","disname":"U2000662_TFT5_Thresh_8","type":5,"block":8,"hp":800},{"name":"TFT5_MissFortune","disname":"U2000925_TFT5_MissFortune_9","type":5,"block":8,"hp":700},{"name":"TFT5_Leona","disname":"U2000155_TFT5_Leona_2","type":5,"block":5,"hp":700},{"name":"TFT5_Kalista","disname":"U2000442_TFT5_Kalista_2","type":5,"block":5,"hp":500},{"name":"TFT5_Thresh","disname":"U2000665_TFT5_Thresh_3","type":5,"block":5,"hp":800},{"name":"TFT5_Udyr","disname":"U2000178_TFT5_Udyr_3","type":5,"block":2,"hp":700},{"name":"TFT5_Sejuani","disname":"U2000601_TFT5_Sejuani_7","type":5,"block":2,"hp":1150},{"name":"TFT5_Sett","disname":"U2000686_TFT5_Sett_7","type":5,"block":2,"hp":1150},{"name":"TFT5_Ashe","disname":"U2000844_TFT5_Ashe_7","type":5,"block":2,"hp":550},{"name":"TFT5_Aatrox","disname":"U2000075_TFT5_Aatrox_8","type":5,"block":1,"hp":650},{"name":"TFT5_Vayne","disname":"U2000123_TFT5_Vayne_3","type":5,"block":1,"hp":900},{"name":"TFT5_Nautilus","disname":"U2000648_TFT5_Nautilus_8","type":5,"block":1,"hp":1350},{"name":"TFT5_Thresh","disname":"U2000661_TFT5_Thresh_7","type":5,"block":1,"hp":800},{"name":"TFT5_Khazix","disname":"U2000230_TFT5_Khazix_9","type":5,"block":0,"hp":500},{"name":"TFT5_Olaf","disname":"U2000413_TFT5_Olaf_8","type":5,"block":0,"hp":650},{"name":"TFT5_Pyke","disname":"U2000571_TFT5_Pyke_2","type":5,"block":0,"hp":650},{"name":"TFT5_Irelia","disname":"U2000702_TFT5_Irelia_4","type":5,"block":0,"hp":750},{"name":"TFT5_LeeSin","disname":"U2000761_TFT5_LeeSin_4","type":5,"block":0,"hp":850},{"name":"TFT5_Khazix","disname":"U2000226_TFT5_Khazix_8","type":5,"block":3,"hp":500},{"name":"TFT5_Olaf","disname":"U2000419_TFT5_Olaf_9","type":5,"block":3,"hp":1170},{"name":"TFT5_Irelia","disname":"U2000694_TFT5_Irelia_7","type":5,"block":3,"hp":750},{"name":"TFT5_Nocturne","disname":"U2000951_TFT5_Nocturne_8","type":5,"block":3,"hp":650},{"name":"TFT5_Senna","disname":"U2000383_TFT5_Senna_2","type":5,"block":6,"hp":500},{"name":"TFT5_Olaf","disname":"U2000402_TFT5_Olaf_2","type":5,"block":6,"hp":650},{"name":"TFT5_Pyke","disname":"U2000563_TFT5_Pyke_2","type":5,"block":6,"hp":650},{"name":"TFT5_Nautilus","disname":"U2000643_TFT5_Nautilus_2","type":5,"block":6,"hp":750},{"name":"TFT5_DraconicEgg","disname":"U2001331_TFT5_DraconicEgg_1","type":5,"block":2,"hp":2},{"name":"TFT5_Leona","disname":"U2000151_TFT5_Leona_1","type":5,"block":0,"hp":700},{"name":"TFT5_Nautilus","disname":"U2000637_TFT5_Nautilus_1","type":5,"block":1,"hp":750},{"name":"TFT5_Udyr","disname":"U2000164_TFT5_Udyr_1","type":5,"block":2,"hp":700},{"name":"TFT5_Syndra","disname":"U2000496_TFT5_Syndra_1","type":5,"block":1,"hp":600},{"name":"TFT5_Vayne","disname":"U2000114_TFT5_Vayne_3","type":5,"block":1,"hp":500},{"name":"TFT5_Ziggs","disname":"U2000353_TFT5_Ziggs_1","type":5,"block":5,"hp":450}]}</t>
  </si>
  <si>
    <t>{"success":true,"code":200,"msg":"鎴愬姛","data":[{"fit":0,"name":"TFTChampion","disname":"鑳栬儢瓒呭嚩","type":3,"block":7,"hp":100},{"fit":0,"name":"TFTChampion","disname":"濂硅閭ｆ檼榛戜簡","type":3,"block":8,"hp":92},{"fit":0,"name":"TFTChampion","disname":"涓嬫涓撶敤鎴?1","type":3,"block":2,"hp":100},{"fit":0,"name":"TFTChampion","disname":"sytdfg","type":3,"block":1,"hp":100},{"fit":1,"name":"TFTChampion","disname":"涓夸慨缃桬motio","type":3,"block":0,"hp":94},{"fit":1,"name":"TFTChampion","disname":"闆跺皝涓禜s","type":3,"block":3,"hp":96},{"fit":0,"name":"TFTChampion","disname":"kkttv","type":3,"block":6,"hp":96},{"name":"TFT5_Senna","disname":"U2000367_TFT5_Senna_1","type":5,"block":2,"hp":500},{"name":"TFT5_Kled","disname":"U2000266_TFT5_Kled_1","type":5,"block":1,"hp":400},{"name":"TFT5_Ziggs","disname":"U2000357_TFT5_Ziggs_1","type":5,"block":1,"hp":450},{"name":"TFT5_Hecarim","disname":"U2000544_TFT5_Hecarim_1","type":5,"block":5,"hp":750},{"name":"TFT5_Vladimir","disname":"U2000213_TFT5_Vladimir_1","type":5,"block":2,"hp":650},{"name":"TFT5_Olaf","disname":"U2000402_TFT5_Olaf_2","type":5,"block":8,"hp":650},{"name":"TFT5_Olaf","disname":"U2000410_TFT5_Olaf_2","type":5,"block":8,"hp":650},{"name":"TFT5_Olaf","disname":"U2000412_TFT5_Olaf_1","type":5,"block":1,"hp":650},{"name":"TFT5_Udyr","disname":"U2000178_TFT5_Udyr_1","type":5,"block":6,"hp":700},{"name":"TFT5_Udyr","disname":"U2000168_TFT5_Udyr_1","type":5,"block":1,"hp":700},{"name":"TFT5_Brand","disname":"U2000519_TFT5_Brand_3","type":5,"block":6,"hp":600},{"name":"TFT5_Kalista","disname":"U2000433_TFT5_Kalista_1","type":5,"block":7,"hp":500},{"name":"TFT5_Tristana","disname":"U2000736_TFT5_Tristana_1","type":5,"block":1,"hp":550},{"name":"TFT5_Udyr","disname":"U2000161_TFT5_Udyr_1","type":5,"block":1,"hp":700},{"name":"TFT5_LeeSin","disname":"U2000766_TFT5_LeeSin_1","type":5,"block":3,"hp":850},{"name":"TFT5_Pyke","disname":"U2000579_TFT5_Pyke_1","type":5,"block":3,"hp":650},{"name":"TFT5_Udyr","disname":"U2000188_TFT5_Udyr_1","type":5,"block":2,"hp":700},{"name":"TFT5_Kled","disname":"U2000270_TFT5_Kled_1","type":5,"block":1,"hp":400},{"name":"TFT5_Poppy","disname":"U2000285_TFT5_Poppy_3","type":5,"block":7,"hp":600},{"name":"TFT5_Ziggs","disname":"U2000334_TFT5_Ziggs_6","type":5,"block":7,"hp":810},{"name":"TFT5_Kalista","disname":"U2000430_TFT5_Kalista_2","type":5,"block":7,"hp":500},{"name":"TFT5_Nautilus","disname":"U2000635_TFT5_Nautilus_2","type":5,"block":7,"hp":750},{"name":"TFT5_Vayne","disname":"U2000109_TFT5_Vayne_4","type":5,"block":8,"hp":500},{"name":"TFT5_Udyr","disname":"U2000182_TFT5_Udyr_4","type":5,"block":8,"hp":1260},{"name":"TFT5_Ashe","disname":"U2000843_TFT5_Ashe_4","type":5,"block":8,"hp":550},{"name":"TFT5_Zyra","disname":"U2000853_TFT5_Zyra_3","type":5,"block":8,"hp":600},{"name":"TFT5_Udyr","disname":"U2000183_TFT5_Udyr_4","type":5,"block":5,"hp":1260},{"name":"TFT5_Gragas","disname":"U2000310_TFT5_Gragas_3","type":5,"block":5,"hp":1350},{"name":"TFT5_Syndra","disname":"U2000506_TFT5_Syndra_2","type":5,"block":5,"hp":1080},{"name":"TFT5_Olaf","disname":"U2000392_TFT5_Olaf_6","type":5,"block":2,"hp":1170},{"name":"TFT5_Sejuani","disname":"U2000588_TFT5_Sejuani_3","type":5,"block":2,"hp":750},{"name":"TFT5_Kennen","disname":"U2000625_TFT5_Kennen_2","type":5,"block":2,"hp":600},{"name":"TFT5_LeeSin","disname":"U2000761_TFT5_LeeSin_4","type":5,"block":2,"hp":1000},{"name":"TFT5_Poppy","disname":"U2000303_TFT5_Poppy_4","type":5,"block":1,"hp":600},{"name":"TFT5_Senna","disname":"U2000382_TFT5_Senna_3","type":5,"block":1,"hp":500},{"name":"TFT5_Nautilus","disname":"U2000636_TFT5_Nautilus_4","type":5,"block":1,"hp":750},{"name":"TFT5_Kalista","disname":"U2000439_TFT5_Kalista_3","type":5,"block":0,"hp":500},{"name":"TFT5_Brand","disname":"U2000529_TFT5_Brand_3","type":5,"block":0,"hp":600},{"name":"TFT5_Irelia","disname":"U2000696_TFT5_Irelia_3","type":5,"block":0,"hp":900},{"name":"TFT5_Poppy","disname":"U2000279_TFT5_Poppy_3","type":5,"block":3,"hp":600},{"name":"TFT5_Olaf","disname":"U2000404_TFT5_Olaf_5","type":5,"block":3,"hp":1170},{"name":"TFT5_Tristana","disname":"U2000720_TFT5_Tristana_4","type":5,"block":3,"hp":550},{"name":"TFT5_Udyr","disname":"U2000160_TFT5_Udyr_7","type":5,"block":6,"hp":700},{"name":"TFT5_Kalista","disname":"U2000431_TFT5_Kalista_3","type":5,"block":6,"hp":500},{"name":"TFT5_Soraka","disname":"U2000481_TFT5_Soraka_4","type":5,"block":6,"hp":550},{"name":"TFT5_DraconicEgg","disname":"U2001285_TFT5_DraconicEgg_1","type":5,"block":8,"hp":2},{"name":"TFT5_Kalista","disname":"U2000424_TFT5_Kalista_1","type":5,"block":0,"hp":500},{"name":"TFT5_Poppy","disname":"U2000298_TFT5_Poppy_1","type":5,"block":3,"hp":600}]}</t>
  </si>
  <si>
    <t>{"success":true,"code":200,"msg":"鎴愬姛","data":[{"fit":0,"name":"TFTChampion","disname":"浼樼灏戝厛闃熼槦闀?,"type":3,"block":7,"hp":100},{"fit":0,"name":"TFTChampion","disname":"鏈堜箤闇滃ぉ钀藉暭婊?,"type":3,"block":8,"hp":94},{"fit":0,"name":"TFTChampion","disname":"濂虫妧宸?,"type":3,"block":5,"hp":94},{"fit":0,"name":"TFTChampion","disname":"鐏缚灏忎付Q","type":3,"block":1,"hp":100},{"fit":2,"name":"TFTChampion","disname":"鎴戝簲璇ユ槸涓啫鎲?,"type":3,"block":0,"hp":84},{"fit":0,"name":"TFTChampion","disname":"涓ㄤ付鏈皧鐏ぇ鍧?,"type":3,"block":3,"hp":100},{"fit":0,"name":"TFTChampion","disname":"EDG涓禭efng","type":3,"block":6,"hp":98},{"name":"TFT5_Leona","disname":"U2000132_TFT5_Leona_1","type":5,"block":1,"hp":700},{"name":"TFT5_Leona","disname":"U2000142_TFT5_Leona_2","type":5,"block":8,"hp":700},{"name":"TFT5_Kled","disname":"U2000263_TFT5_Kled_1","type":5,"block":2,"hp":720},{"name":"TFT5_Udyr","disname":"U2000175_TFT5_Udyr_2","type":5,"block":8,"hp":700},{"name":"TFT5_Kalista","disname":"U2000421_TFT5_Kalista_4","type":5,"block":8,"hp":500},{"name":"TFT5_Ziggs","disname":"U2000343_TFT5_Ziggs_2","type":5,"block":2,"hp":450},{"name":"TFT5_Syndra","disname":"U2000495_TFT5_Syndra_3","type":5,"block":1,"hp":600},{"name":"TFT5_Vayne","disname":"U2000104_TFT5_Vayne_2","type":5,"block":6,"hp":500},{"name":"TFT5_Sett","disname":"U2000682_TFT5_Sett_1","type":5,"block":8,"hp":750},{"name":"TFT5_Kennen","disname":"U2000616_TFT5_Kennen_1","type":5,"block":8,"hp":600},{"name":"TFT5_Poppy","disname":"U2000300_TFT5_Poppy_1","type":5,"block":3,"hp":600},{"name":"TFT5_Olaf","disname":"U2000414_TFT5_Olaf_1","type":5,"block":5,"hp":650},{"name":"TFT5_Leona","disname":"U2000139_TFT5_Leona_1","type":5,"block":6,"hp":700},{"name":"TFT5_Ziggs","disname":"U2000346_TFT5_Ziggs_1","type":5,"block":1,"hp":450},{"name":"TFT5_Olaf","disname":"U2000400_TFT5_Olaf_1","type":5,"block":7,"hp":650},{"name":"TFT5_Aatrox","disname":"U2000099_TFT5_Aatrox_1","type":5,"block":6,"hp":1170},{"name":"TFT5_Udyr","disname":"U2000178_TFT5_Udyr_1","type":5,"block":1,"hp":700},{"name":"TFT5_Gragas","disname":"U2000323_TFT5_Gragas_1","type":5,"block":1,"hp":750},{"name":"TFT5_Ziggs","disname":"U2000344_TFT5_Ziggs_2","type":5,"block":0,"hp":450},{"name":"TFT5_Sejuani","disname":"U2000597_TFT5_Sejuani_1","type":5,"block":0,"hp":750},{"name":"TFT5_Gragas","disname":"U2000305_TFT5_Gragas_1","type":5,"block":2,"hp":750},{"name":"TFT5_Khazix","disname":"U2000219_TFT5_Khazix_1","type":5,"block":0,"hp":500},{"name":"TFT5_Kalista","disname":"U2000429_TFT5_Kalista_1","type":5,"block":2,"hp":500},{"name":"TFT5_Gragas","disname":"U2000333_TFT5_Gragas_1","type":5,"block":2,"hp":750},{"name":"TFT5_Poppy","disname":"U2000292_TFT5_Poppy_1","type":5,"block":0,"hp":600},{"name":"TFT5_Khazix","disname":"U2000235_TFT5_Khazix_3","type":5,"block":7,"hp":500},{"name":"TFT5_Gragas","disname":"U2000332_TFT5_Gragas_4","type":5,"block":7,"hp":1350},{"name":"TFT5_Nidalee","disname":"U2000889_TFT5_Nidalee_4","type":5,"block":7,"hp":800},{"name":"TFT5_Olaf","disname":"U2000411_TFT5_Olaf_5","type":5,"block":8,"hp":650},{"name":"TFT5_Irelia","disname":"U2000697_TFT5_Irelia_3","type":5,"block":8,"hp":750},{"name":"TFT5_LeeSin","disname":"U2000770_TFT5_LeeSin_3","type":5,"block":8,"hp":850},{"name":"TFT5_Hecarim","disname":"U2000544_TFT5_Hecarim_4","type":5,"block":5,"hp":900},{"name":"TFT5_Sejuani","disname":"U2000603_TFT5_Sejuani_5","type":5,"block":5,"hp":1350},{"name":"TFT5_Irelia","disname":"U2000699_TFT5_Irelia_4","type":5,"block":5,"hp":750},{"name":"TFT5_Vladimir","disname":"U2000203_TFT5_Vladimir_2","type":5,"block":2,"hp":1170},{"name":"TFT5_Poppy","disname":"U2000296_TFT5_Poppy_4","type":5,"block":2,"hp":1080},{"name":"TFT5_Rakan","disname":"U2000822_TFT5_Rakan_2","type":5,"block":2,"hp":800},{"name":"TFT5_Kled","disname":"U2000248_TFT5_Kled_3","type":5,"block":1,"hp":400},{"name":"TFT5_Poppy","disname":"U2000278_TFT5_Poppy_5","type":5,"block":1,"hp":600},{"name":"TFT5_Ziggs","disname":"U2000359_TFT5_Ziggs_5","type":5,"block":1,"hp":450},{"name":"TFT5_Kennen","disname":"U2000613_TFT5_Kennen_3","type":5,"block":1,"hp":600},{"name":"TFT5_Ziggs","disname":"U2000334_TFT5_Ziggs_7","type":5,"block":0,"hp":450},{"name":"TFT5_Aatrox","disname":"U2000081_TFT5_Aatrox_2","type":5,"block":3,"hp":650},{"name":"TFT5_Leona","disname":"U2000151_TFT5_Leona_2","type":5,"block":3,"hp":700},{"name":"TFT5_Poppy","disname":"U2000286_TFT5_Poppy_2","type":5,"block":3,"hp":600},{"name":"TFT5_Syndra","disname":"U2000507_TFT5_Syndra_2","type":5,"block":3,"hp":600},{"name":"TFT5_Vayne","disname":"U2000102_TFT5_Vayne_6","type":5,"block":6,"hp":900},{"name":"TFT5_Varus","disname":"U2000463_TFT5_Varus_2","type":5,"block":6,"hp":600},{"name":"TFT5_MissFortune","disname":"U2000926_TFT5_MissFortune_3","type":5,"block":6,"hp":700},{"name":"TFT5_Aatrox","disname":"U2000087_TFT5_Aatrox_1","type":5,"block":6,"hp":650},{"name":"TFT5_Sejuani","disname":"U2000586_TFT5_Sejuani_1","type":5,"block":5,"hp":750},{"name":"TFT5_Kled","disname":"U2000272_TFT5_Kled_2","type":5,"block":2,"hp":400},{"name":"TFT5_Varus","disname":"U2000460_TFT5_Varus_1","type":5,"block":3,"hp":600}]}</t>
  </si>
  <si>
    <t>{"success":true,"code":200,"msg":"鎴愬姛","data":[{"fit":0,"name":"TFTChampion","disname":"鍦ㄦ垜鐨勬ⅵ閲岄潰","type":3,"block":7,"hp":100},{"fit":0,"name":"TFTChampion","disname":"浜戦《鍙戞槑瀹舵矙鐨嫍","type":3,"block":8,"hp":100},{"fit":0,"name":"TFTChampion","disname":"蹇樺繕蹇樺繕鎯呬簡涓?,"type":3,"block":5,"hp":100},{"fit":0,"name":"TFTChampion","disname":"鏃?11鍓?,"type":3,"block":2,"hp":100},{"fit":2,"name":"TFTChampion","disname":"RmemberS","type":3,"block":0,"hp":100},{"fit":0,"name":"TFTChampion","disname":"鐪熺殑浠绘€?,"type":3,"block":3,"hp":100},{"fit":0,"name":"TFTChampion","disname":"鎴戝拰閲戝厠鏂兘鎯充綘","type":3,"block":6,"hp":100},{"name":"TFT5_Udyr","disname":"U2000182_TFT5_Udyr_1","type":5,"block":2,"hp":700},{"name":"TFT5_Kalista","disname":"U2000447_TFT5_Kalista_1","type":5,"block":5,"hp":500},{"name":"TFT5_Senna","disname":"U2000368_TFT5_Senna_1","type":5,"block":5,"hp":500},{"name":"TFT5_Vayne","disname":"U2000121_TFT5_Vayne_1","type":5,"block":3,"hp":500},{"name":"TFT5_Brand","disname":"U2000534_TFT5_Brand_1","type":5,"block":3,"hp":600},{"name":"TFT5_Kalista","disname":"U2000424_TFT5_Kalista_1","type":5,"block":1,"hp":500},{"name":"TFT5_Leona","disname":"U2000133_TFT5_Leona_1","type":5,"block":1,"hp":700},{"name":"TFT5_Lux","disname":"U2000796_TFT5_Lux_1","type":5,"block":8,"hp":600},{"name":"TFT5_Rakan","disname":"U2000811_TFT5_Rakan_1","type":5,"block":7,"hp":800},{"name":"TFT5_Sejuani","disname":"U2000589_TFT5_Sejuani_1","type":5,"block":7,"hp":750},{"name":"TFT5_Khazix","disname":"U2000236_TFT5_Khazix_1","type":5,"block":3,"hp":500},{"name":"TFT5_Lulu","disname":"U2000785_TFT5_Lulu_1","type":5,"block":0,"hp":650},{"name":"TFT5_MissFortune","disname":"U2000920_TFT5_MissFortune_1","type":5,"block":0,"hp":700},{"name":"TFT5_Thresh","disname":"U2000660_TFT5_Thresh_1","type":5,"block":5,"hp":800},{"name":"TFT5_Sejuani","disname":"U2000584_TFT5_Sejuani_1","type":5,"block":5,"hp":750},{"name":"TFT5_Riven","disname":"U2000740_TFT5_Riven_1","type":5,"block":1,"hp":850},{"name":"TFT5_Varus","disname":"U2000467_TFT5_Varus_1","type":5,"block":2,"hp":600},{"name":"TFT5_Nautilus","disname":"U2000632_TFT5_Nautilus_1","type":5,"block":5,"hp":750},{"name":"TFT5_Senna","disname":"U2000383_TFT5_Senna_1","type":5,"block":1,"hp":500},{"name":"TFT5_Leona","disname":"U2000142_TFT5_Leona_1","type":5,"block":1,"hp":700},{"name":"TFT5_Poppy","disname":"U2000297_TFT5_Poppy_1","type":5,"block":1,"hp":600},{"name":"TFT5_Leona","disname":"U2000135_TFT5_Leona_2","type":5,"block":7,"hp":700},{"name":"TFT5_Senna","disname":"U2000363_TFT5_Senna_5","type":5,"block":7,"hp":900},{"name":"TFT5_Leona","disname":"U2000139_TFT5_Leona_3","type":5,"block":8,"hp":700},{"name":"TFT5_Poppy","disname":"U2000283_TFT5_Poppy_2","type":5,"block":8,"hp":600},{"name":"TFT5_Varus","disname":"U2000460_TFT5_Varus_2","type":5,"block":8,"hp":600},{"name":"TFT5_Udyr","disname":"U2000175_TFT5_Udyr_3","type":5,"block":5,"hp":700},{"name":"TFT5_Kalista","disname":"U2000428_TFT5_Kalista_3","type":5,"block":5,"hp":500},{"name":"TFT5_Nidalee","disname":"U2000889_TFT5_Nidalee_2","type":5,"block":5,"hp":800},{"name":"TFT5_Poppy","disname":"U2000284_TFT5_Poppy_3","type":5,"block":2,"hp":600},{"name":"TFT5_Olaf","disname":"U2000398_TFT5_Olaf_2","type":5,"block":2,"hp":1170},{"name":"TFT5_Tristana","disname":"U2000724_TFT5_Tristana_3","type":5,"block":2,"hp":550},{"name":"TFT5_Gragas","disname":"U2000331_TFT5_Gragas_3","type":5,"block":1,"hp":1350},{"name":"TFT5_Aatrox","disname":"U2000078_TFT5_Aatrox_3","type":5,"block":0,"hp":1170},{"name":"TFT5_Leona","disname":"U2000138_TFT5_Leona_2","type":5,"block":0,"hp":700},{"name":"TFT5_Vladimir","disname":"U2000192_TFT5_Vladimir_2","type":5,"block":0,"hp":650},{"name":"TFT5_Vayne","disname":"U2000105_TFT5_Vayne_3","type":5,"block":3,"hp":500},{"name":"TFT5_Gragas","disname":"U2000329_TFT5_Gragas_3","type":5,"block":3,"hp":750},{"name":"TFT5_Kalista","disname":"U2000439_TFT5_Kalista_2","type":5,"block":3,"hp":900},{"name":"TFT5_Olaf","disname":"U2000392_TFT5_Olaf_5","type":5,"block":6,"hp":650},{"name":"TFT5_Vayne","disname":"U2000129_TFT5_Vayne_1","type":5,"block":2,"hp":900},{"name":"TFT5_Gragas","disname":"U2000307_TFT5_Gragas_1","type":5,"block":1,"hp":750},{"name":"TFT5_Gragas","disname":"U2000312_TFT5_Gragas_1","type":5,"block":1,"hp":750},{"name":"TFT5_Kled","disname":"U2000261_TFT5_Kled_1","type":5,"block":8,"hp":720}]}</t>
  </si>
  <si>
    <t>{"success":true,"code":200,"msg":"鎴愬姛","data":["TFT5_Lulu","TFT5_Kled","TFT5_Kalista","TFT5_Vladimir","TFT5_Brand"]}</t>
  </si>
  <si>
    <t>{"success":true,"code":200,"msg":"鎴愬姛","data":[{"isme":true,"zt":5,"fit":0,"name":"TFTChampion","disname":"AlphaChess","type":3,"block":1,"hp":96},{"fit":2,"name":"TFTChampion","disname":"鍦ㄦ垜鐨勬ⅵ閲岄潰","type":3,"block":7,"hp":70},{"fit":2,"name":"TFTChampion","disname":"浜戦《鍙戞槑瀹舵矙鐨嫍","type":3,"block":8,"hp":86},{"fit":1,"name":"TFTChampion","disname":"蹇樺繕蹇樺繕鎯呬簡涓?,"type":3,"block":5,"hp":75},{"fit":0,"name":"TFTChampion","disname":"鏃?11鍓?,"type":3,"block":2,"hp":54},{"fit":4,"name":"TFTChampion","disname":"RmemberS","type":3,"block":0,"hp":80},{"fit":1,"name":"TFTChampion","disname":"鐪熺殑浠绘€?,"type":3,"block":3,"hp":44},{"fit":1,"name":"TFTChampion","disname":"鎴戝拰閲戝厠鏂兘鎯充綘","type":3,"block":6,"hp":39},{"name":"TFT5_Sett","disname":"U2000673_TFT5_Sett_1","type":5,"block":5,"hp":750},{"name":"TFT5_Lux","disname":"U2000801_TFT5_Lux_1","type":5,"block":8,"hp":600},{"name":"TFT5_Leona","disname":"U2000147_TFT5_Leona_1","type":5,"block":8,"hp":700},{"name":"TFT5_Leona","disname":"U2000150_TFT5_Leona_1","type":5,"block":8,"hp":700},{"name":"TFT5_Poppy","disname":"U2000291_TFT5_Poppy_1","type":5,"block":8,"hp":600},{"name":"TFT5_Vladimir","disname":"U2000191_TFT5_Vladimir_1","type":5,"block":1,"hp":650},{"name":"TFT5_Nautilus","disname":"U2000643_TFT5_Nautilus_1","type":5,"block":6,"hp":750},{"name":"TFT5_Nautilus","disname":"U2000646_TFT5_Nautilus_1","type":5,"block":7,"hp":750},{"name":"TFT5_Khazix","disname":"U2000229_TFT5_Khazix_4","type":5,"block":1,"hp":900},{"name":"TFT5_Vayne","disname":"U2000118_TFT5_Vayne_1","type":5,"block":2,"hp":900},{"name":"TFT5_Brand","disname":"U2000530_TFT5_Brand_1","type":5,"block":5,"hp":600},{"name":"TFT5_Irelia","disname":"U2000699_TFT5_Irelia_1","type":5,"block":1,"hp":750},{"name":"TFT5_Olaf","disname":"U2000403_TFT5_Olaf_1","type":5,"block":1,"hp":650},{"name":"TFT5_Vayne","disname":"U2000115_TFT5_Vayne_1","type":5,"block":2,"hp":500},{"name":"TFT5_Tristana","disname":"U2000736_TFT5_Tristana_1","type":5,"block":6,"hp":550},{"name":"TFT5_Sejuani","disname":"U2000591_TFT5_Sejuani_1","type":5,"block":7,"hp":1350},{"name":"TFT5_Nautilus","disname":"U2000641_TFT5_Nautilus_2","type":5,"block":7,"hp":750},{"name":"TFT5_Olaf","disname":"U2000395_TFT5_Olaf_3","type":5,"block":1,"hp":650},{"name":"TFT5_Irelia","disname":"U2000694_TFT5_Irelia_6","type":5,"block":1,"hp":750},{"name":"TFT5_LeeSin","disname":"U2000764_TFT5_LeeSin_3","type":5,"block":1,"hp":850},{"name":"TFT5_Leona","disname":"U2000145_TFT5_Leona_14","type":5,"block":3,"hp":700},{"name":"TFT5_Tristana","disname":"U2000720_TFT5_Tristana_3","type":5,"block":6,"hp":550},{"name":"TFT5_Aphelios","disname":"U2001051_TFT5_Aphelios_2","type":5,"block":2,"hp":650},{"name":"TFT5_Varus","disname":"U2000468_TFT5_Varus_1","type":5,"block":3,"hp":600},{"name":"TFT5_Brand","disname":"U2000536_TFT5_Brand_1","type":5,"block":5,"hp":600},{"name":"TFT5_Thresh","disname":"U2000667_TFT5_Thresh_1","type":5,"block":2,"hp":800},{"name":"TFT5_Lux","disname":"U2000792_TFT5_Lux_1","type":5,"block":3,"hp":600},{"name":"TFT5_Nautilus","disname":"U2000644_TFT5_Nautilus_1","type":5,"block":6,"hp":750},{"name":"TFT5_Nautilus","disname":"U2000632_TFT5_Nautilus_2","type":5,"block":2,"hp":750},{"name":"TFT5_Riven","disname":"U2000742_TFT5_Riven_1","type":5,"block":1,"hp":850},{"name":"TFT5_Sejuani","disname":"U2000598_TFT5_Sejuani_1","type":5,"block":1,"hp":750},{"name":"TFT5_Sett","disname":"U2000679_TFT5_Sett_1","type":5,"block":2,"hp":750},{"name":"TFT5_Sett","disname":"U2000692_TFT5_Sett_1","type":5,"block":2,"hp":750},{"name":"TFT5_Senna","disname":"U2000363_TFT5_Senna_19","type":5,"block":7,"hp":900},{"name":"TFT5_Hecarim","disname":"U2000558_TFT5_Hecarim_2","type":5,"block":7,"hp":1350},{"name":"TFT5_Sejuani","disname":"U2000602_TFT5_Sejuani_2","type":5,"block":7,"hp":1350},{"name":"TFT5_Irelia","disname":"U2000703_TFT5_Irelia_5","type":5,"block":7,"hp":750},{"name":"TFT5_Rakan","disname":"U2000811_TFT5_Rakan_12","type":5,"block":7,"hp":800},{"name":"TFT5_Leona","disname":"U2000139_TFT5_Leona_20","type":5,"block":8,"hp":1410},{"name":"TFT5_Kled","disname":"U2000261_TFT5_Kled_18","type":5,"block":8,"hp":720},{"name":"TFT5_Poppy","disname":"U2000283_TFT5_Poppy_19","type":5,"block":8,"hp":600},{"name":"TFT5_Varus","disname":"U2000460_TFT5_Varus_19","type":5,"block":8,"hp":600},{"name":"TFT5_Syndra","disname":"U2000511_TFT5_Syndra_8","type":5,"block":8,"hp":600},{"name":"TFT5_Lux","disname":"U2000796_TFT5_Lux_14","type":5,"block":8,"hp":600},{"name":"TFT5_Udyr","disname":"U2000175_TFT5_Udyr_17","type":5,"block":5,"hp":1260},{"name":"TFT5_Gragas","disname":"U2000315_TFT5_Gragas_3","type":5,"block":5,"hp":1350},{"name":"TFT5_Olaf","disname":"U2000416_TFT5_Olaf_15","type":5,"block":5,"hp":1170},{"name":"TFT5_Kalista","disname":"U2000428_TFT5_Kalista_17","type":5,"block":5,"hp":900},{"name":"TFT5_Riven","disname":"U2000747_TFT5_Riven_12","type":5,"block":5,"hp":850},{"name":"TFT5_Nidalee","disname":"U2000889_TFT5_Nidalee_16","type":5,"block":5,"hp":800},{"name":"TFT5_Vayne","disname":"U2000129_TFT5_Vayne_14","type":5,"block":2,"hp":900},{"name":"TFT5_Varus","disname":"U2000455_TFT5_Varus_5","type":5,"block":2,"hp":600},{"name":"TFT5_Sejuani","disname":"U2000601_TFT5_Sejuani_5","type":5,"block":2,"hp":750},{"name":"TFT5_Ashe","disname":"U2000830_TFT5_Ashe_7","type":5,"block":2,"hp":550},{"name":"TFT5_Aphelios","disname":"U2001052_TFT5_Aphelios_5","type":5,"block":2,"hp":650},{"name":"TFT5_Aatrox","disname":"U2000083_TFT5_Aatrox_10","type":5,"block":1,"hp":1170},{"name":"TFT5_Gragas","disname":"U2000331_TFT5_Gragas_18","type":5,"block":1,"hp":1350},{"name":"TFT5_Kalista","disname":"U2000424_TFT5_Kalista_17","type":5,"block":1,"hp":900},{"name":"TFT5_Sejuani","disname":"U2000589_TFT5_Sejuani_8","type":5,"block":1,"hp":750},{"name":"TFT5_Riven","disname":"U2000740_TFT5_Riven_16","type":5,"block":1,"hp":850},{"name":"TFT5_Yasuo","disname":"U2000904_TFT5_Yasuo_9","type":5,"block":1,"hp":800},{"name":"TFT5_Aatrox","disname":"U2000078_TFT5_Aatrox_15","type":5,"block":0,"hp":1170},{"name":"TFT5_Vladimir","disname":"U2000205_TFT5_Vladimir_7","type":5,"block":0,"hp":1170},{"name":"TFT5_Pyke","disname":"U2000567_TFT5_Pyke_4","type":5,"block":0,"hp":1170},{"name":"TFT5_Irelia","disname":"U2000707_TFT5_Irelia_13","type":5,"block":0,"hp":1350},{"name":"TFT5_LeeSin","disname":"U2000767_TFT5_LeeSin_7","type":5,"block":0,"hp":1680},{"name":"TFT5_Yasuo","disname":"U2000900_TFT5_Yasuo_7","type":5,"block":0,"hp":800},{"name":"TFT5_Aatrox","disname":"U2000079_TFT5_Aatrox_16","type":5,"block":3,"hp":1170},{"name":"TFT5_Leona","disname":"U2000144_TFT5_Leona_4","type":5,"block":3,"hp":700},{"name":"TFT5_Varus","disname":"U2000471_TFT5_Varus_8","type":5,"block":3,"hp":600},{"name":"TFT5_Syndra","disname":"U2000497_TFT5_Syndra_13","type":5,"block":3,"hp":600},{"name":"TFT5_Lux","disname":"U2000806_TFT5_Lux_13","type":5,"block":3,"hp":600},{"name":"TFT5_Velkoz","disname":"U2001003_TFT5_Velkoz_4","type":5,"block":3,"hp":700},{"name":"TFT5_Udyr","disname":"U2000178_TFT5_Udyr_4","type":5,"block":6,"hp":1260},{"name":"TFT5_Senna","disname":"U2000376_TFT5_Senna_5","type":5,"block":6,"hp":900},{"name":"TFT5_Olaf","disname":"U2000392_TFT5_Olaf_17","type":5,"block":6,"hp":1320},{"name":"TFT5_Varus","disname":"U2000462_TFT5_Varus_5","type":5,"block":6,"hp":1230},{"name":"TFT5_Irelia","disname":"U2000714_TFT5_Irelia_6","type":5,"block":6,"hp":750},{"name":"TFT5_Rakan","disname":"U2000822_TFT5_Rakan_2","type":5,"block":6,"hp":1440},{"name":"TFT5_Aphelios","disname":"U2001053_TFT5_Aphelios_2","type":5,"block":6,"hp":650},{"name":"TFT5_Senna","disname":"U2000365_TFT5_Senna_1","type":5,"block":6,"hp":500},{"name":"TFT5_Draven","disname":"U2001086_TFT5_Draven_1","type":5,"block":6,"hp":700},{"name":"TFT5_Olaf","disname":"U2000413_TFT5_Olaf_10","type":5,"block":6,"hp":650},{"name":"TFT5_Lucian","disname":"U2000988_TFT5_Lucian_1","type":5,"block":5,"hp":700},{"name":"TFT5_Varus","disname":"U2000459_TFT5_Varus_1","type":5,"block":8,"hp":600},{"name":"TFT5_Udyr","disname":"U2000170_TFT5_Udyr_1","type":5,"block":6,"hp":700},{"name":"TFT5_Galio","disname":"U2001031_TFT5_Galio_1","type":5,"block":6,"hp":1000},{"name":"TFT5_Rakan","disname":"U2000823_TFT5_Rakan_1","type":5,"block":7,"hp":800},{"name":"TFT5_Aatrox","disname":"U2000086_TFT5_Aatrox_1","type":5,"block":3,"hp":650},{"name":"TFT5_Yasuo","disname":"U2000907_TFT5_Yasuo_1","type":5,"block":7,"hp":800}]}</t>
  </si>
  <si>
    <t>x</t>
  </si>
  <si>
    <t>y</t>
  </si>
  <si>
    <t>position</t>
  </si>
  <si>
    <t>{"success":true,"code":200,"msg":"鎴愬姛","data":[{"fit":1,"name":"TFTChampion","disname":"涓嶇涓嶆儏璋?,"type":3,"block":7,"hp":96},{"fit":0,"name":"TFTChampion","disname":"娣峰悆绛夋鐨勮姮閲屾柉","type":3,"block":8,"hp":96},{"fit":0,"name":"TFTChampion","disname":"澶╃伂閲庡柦娌″杺","type":3,"block":5,"hp":100},{"fit":0,"name":"TFTChampion","disname":"OraRza","type":3,"block":2,"hp":100},{"fit":0,"name":"TFTChampion","disname":"鏃犳晫鎴樼鐚村瓙鐜?,"type":3,"block":1,"hp":100},{"fit":1,"name":"TFTChampion","disname":"鑰佸凹濮戝健鐪嬪墤","type":3,"block":0,"hp":94},{"fit":0,"name":"TFTChampion","disname":"鍝圤3O","type":3,"block":6,"hp":96},{"name":"TFT5_Olaf","disname":"U2000402_TFT5_Olaf_1","type":5,"block":0,"hp":650},{"name":"TFT5_Udyr","disname":"U2000170_TFT5_Udyr_2","type":5,"block":3,"hp":700},{"name":"TFT5_Khazix","disname":"U2000232_TFT5_Khazix_1","type":5,"block":0,"hp":500},{"name":"TFT5_Leona","disname":"U2000146_TFT5_Leona_1","type":5,"block":2,"hp":700},{"name":"TFT5_Vayne","disname":"U2000130_TFT5_Vayne_1","type":5,"block":6,"hp":500},{"name":"TFT5_LeeSin","disname":"U2000772_TFT5_LeeSin_1","type":5,"block":7,"hp":850},{"name":"TFT5_Yasuo","disname":"U2000908_TFT5_Yasuo_1","type":5,"block":7,"hp":800},{"name":"TFT5_Olaf","disname":"U2000405_TFT5_Olaf_1","type":5,"block":3,"hp":650},{"name":"TFT5_Hecarim","disname":"U2000551_TFT5_Hecarim_1","type":5,"block":3,"hp":750},{"name":"TFT5_Khazix","disname":"U2000244_TFT5_Khazix_3","type":5,"block":0,"hp":500},{"name":"TFT5_Gragas","disname":"U2000333_TFT5_Gragas_3","type":5,"block":0,"hp":750},{"name":"TFT5_Sett","disname":"U2000682_TFT5_Sett_2","type":5,"block":0,"hp":750},{"name":"TFT5_Olaf","disname":"U2000417_TFT5_Olaf_3","type":5,"block":3,"hp":650},{"name":"TFT5_Olaf","disname":"U2000416_TFT5_Olaf_3","type":5,"block":6,"hp":1170},{"name":"TFT5_Kalista","disname":"U2000438_TFT5_Kalista_2","type":5,"block":6,"hp":500},{"name":"TFT5_Syndra","disname":"U2000501_TFT5_Syndra_1","type":5,"block":2,"hp":600},{"name":"TFT5_Irelia","disname":"U2000705_TFT5_Irelia_1","type":5,"block":6,"hp":750},{"name":"TFT5_Udyr","disname":"U2000179_TFT5_Udyr_1","type":5,"block":7,"hp":700},{"name":"TFT5_Udyr","disname":"U2000174_TFT5_Udyr_1","type":5,"block":7,"hp":700},{"name":"TFT5_Kennen","disname":"U2000612_TFT5_Kennen_1","type":5,"block":3,"hp":600},{"name":"TFT5_Vladimir","disname":"U2000194_TFT5_Vladimir_1","type":5,"block":2,"hp":650},{"name":"TFT5_Vayne","disname":"U2000116_TFT5_Vayne_1","type":5,"block":3,"hp":500},{"name":"TFT5_Leona","disname":"U2000131_TFT5_Leona_7","type":5,"block":7,"hp":1260},{"name":"TFT5_Riven","disname":"U2000748_TFT5_Riven_3","type":5,"block":7,"hp":850},{"name":"TFT5_Yasuo","disname":"U2000913_TFT5_Yasuo_4","type":5,"block":7,"hp":800},{"name":"TFT5_Aatrox","disname":"U2000081_TFT5_Aatrox_4","type":5,"block":8,"hp":650},{"name":"TFT5_Vladimir","disname":"U2000189_TFT5_Vladimir_6","type":5,"block":8,"hp":1170},{"name":"TFT5_Varus","disname":"U2000456_TFT5_Varus_3","type":5,"block":8,"hp":600},{"name":"TFT5_Aatrox","disname":"U2000084_TFT5_Aatrox_2","type":5,"block":5,"hp":650},{"name":"TFT5_Udyr","disname":"U2000163_TFT5_Udyr_4","type":5,"block":5,"hp":700},{"name":"TFT5_Sett","disname":"U2000690_TFT5_Sett_3","type":5,"block":5,"hp":750},{"name":"TFT5_Aatrox","disname":"U2000073_TFT5_Aatrox_7","type":5,"block":2,"hp":1320},{"name":"TFT5_LeeSin","disname":"U2000756_TFT5_LeeSin_4","type":5,"block":2,"hp":850},{"name":"TFT5_Nidalee","disname":"U2000889_TFT5_Nidalee_4","type":5,"block":2,"hp":800},{"name":"TFT5_Udyr","disname":"U2000171_TFT5_Udyr_4","type":5,"block":1,"hp":1410},{"name":"TFT5_Udyr","disname":"U2000172_TFT5_Udyr_3","type":5,"block":1,"hp":700},{"name":"TFT5_Olaf","disname":"U2000394_TFT5_Olaf_2","type":5,"block":1,"hp":650},{"name":"TFT5_Udyr","disname":"U2000176_TFT5_Udyr_3","type":5,"block":0,"hp":700},{"name":"TFT5_Olaf","disname":"U2000395_TFT5_Olaf_3","type":5,"block":0,"hp":650},{"name":"TFT5_Kennen","disname":"U2000607_TFT5_Kennen_3","type":5,"block":0,"hp":600},{"name":"TFT5_Vladimir","disname":"U2000213_TFT5_Vladimir_2","type":5,"block":3,"hp":1170},{"name":"TFT5_Hecarim","disname":"U2000547_TFT5_Hecarim_2","type":5,"block":3,"hp":750},{"name":"TFT5_Sejuani","disname":"U2000585_TFT5_Sejuani_2","type":5,"block":3,"hp":750},{"name":"TFT5_Thresh","disname":"U2000665_TFT5_Thresh_3","type":5,"block":3,"hp":800},{"name":"TFT5_Vayne","disname":"U2000126_TFT5_Vayne_5","type":5,"block":6,"hp":500},{"name":"TFT5_Gragas","disname":"U2000316_TFT5_Gragas_3","type":5,"block":6,"hp":750},{"name":"TFT5_Kalista","disname":"U2000436_TFT5_Kalista_3","type":5,"block":6,"hp":500}]}</t>
  </si>
  <si>
    <t>{"success":true,"code":200,"msg":"鎴愬姛","data":[{"fit":0,"name":"TFTChampion","disname":"AkingVock","type":3,"block":7,"hp":20},{"fit":0,"name":"TFTChampion","disname":"淇烘潙淇烘渶绾?,"type":3,"block":8,"hp":20},{"fit":0,"name":"TFTChampion","disname":"skr涓舵氮涓€娴?,"type":3,"block":5,"hp":20},{"fit":0,"name":"TFTChampion","disname":"骞胯タ涓冧竷","type":3,"block":2,"hp":20},{"fit":0,"name":"TFTChampion","disname":"濂戒汉鍧忎汉閮戒細姝?,"type":3,"block":1,"hp":20},{"fit":0,"name":"TFTChampion","disname":"鍗佷笁涓垮摜","type":3,"block":0,"hp":20},{"fit":0,"name":"TFTChampion","disname":"缁堢偣vp","type":3,"block":6,"hp":20},{"name":"TFT5_Varus","disname":"U2000462_TFT5_Varus_1","type":5,"block":0,"hp":600},{"name":"TFT5_Irelia","disname":"U2000701_TFT5_Irelia_1","type":5,"block":0,"hp":750},{"name":"TFT5_Soraka","disname":"U2000491_TFT5_Soraka_1","type":5,"block":0,"hp":550},{"name":"TFT5_Olaf","disname":"U2000402_TFT5_Olaf_1","type":5,"block":7,"hp":650},{"name":"TFT5_Aatrox","disname":"U2000092_TFT5_Aatrox_1","type":5,"block":2,"hp":650},{"name":"TFT5_Aatrox","disname":"U2000078_TFT5_Aatrox_1","type":5,"block":2,"hp":650},{"name":"TFT5_Vayne","disname":"U2000124_TFT5_Vayne_1","type":5,"block":7,"hp":500},{"name":"TFT5_Kled","disname":"U2000252_TFT5_Kled_1","type":5,"block":1,"hp":400},{"name":"TFT5_Kled","disname":"U2000262_TFT5_Kled_1","type":5,"block":1,"hp":400},{"name":"TFT5_Gragas","disname":"U2000313_TFT5_Gragas_1","type":5,"block":7,"hp":750},{"name":"TFT5_Ziggs","disname":"U2000359_TFT5_Ziggs_1","type":5,"block":1,"hp":450},{"name":"TFT5_Senna","disname":"U2000389_TFT5_Senna_1","type":5,"block":3,"hp":500},{"name":"TFT5_Kled","disname":"U2000261_TFT5_Kled_1","type":5,"block":3,"hp":400},{"name":"TFT5_Khazix","disname":"U2000240_TFT5_Khazix_1","type":5,"block":3,"hp":500},{"name":"TFT5_Tristana","disname":"U2000727_TFT5_Tristana_1","type":5,"block":3,"hp":550},{"name":"TFT5_Lux","disname":"U2000794_TFT5_Lux_1","type":5,"block":2,"hp":600},{"name":"TFT5_Zyra","disname":"U2000856_TFT5_Zyra_1","type":5,"block":2,"hp":600},{"name":"TFT5_Olaf","disname":"U2000405_TFT5_Olaf_1","type":5,"block":6,"hp":650},{"name":"TFT5_Ashe","disname":"U2000828_TFT5_Ashe_1","type":5,"block":0,"hp":600},{"name":"TFT5_Tristana","disname":"U2000724_TFT5_Tristana_1","type":5,"block":2,"hp":550},{"name":"TFT5_Nocturne","disname":"U2000950_TFT5_Nocturne_1","type":5,"block":5,"hp":650},{"name":"TFT5_Rakan","disname":"U2000821_TFT5_Rakan_1","type":5,"block":5,"hp":800},{"name":"TFT5_Aatrox","disname":"U2000073_TFT5_Aatrox_4","type":5,"block":7,"hp":650},{"name":"TFT5_Leona","disname":"U2000142_TFT5_Leona_2","type":5,"block":7,"hp":700},{"name":"TFT5_Vayne","disname":"U2000102_TFT5_Vayne_4","type":5,"block":8,"hp":500},{"name":"TFT5_LeeSin","disname":"U2000763_TFT5_LeeSin_2","type":5,"block":8,"hp":800},{"name":"TFT5_Leona","disname":"U2000131_TFT5_Leona_4","type":5,"block":5,"hp":700},{"name":"TFT5_Poppy","disname":"U2000287_TFT5_Poppy_2","type":5,"block":5,"hp":600},{"name":"TFT5_Udyr","disname":"U2000178_TFT5_Udyr_2","type":5,"block":2,"hp":700},{"name":"TFT5_Senna","disname":"U2000364_TFT5_Senna_2","type":5,"block":2,"hp":500},{"name":"TFT5_Ziggs","disname":"U2000357_TFT5_Ziggs_2","type":5,"block":1,"hp":450},{"name":"TFT5_Kalista","disname":"U2000421_TFT5_Kalista_4","type":5,"block":1,"hp":900},{"name":"TFT5_Gragas","disname":"U2000333_TFT5_Gragas_2","type":5,"block":0,"hp":1150},{"name":"TFT5_Sejuani","disname":"U2000597_TFT5_Sejuani_2","type":5,"block":0,"hp":1150},{"name":"TFT5_Poppy","disname":"U2000276_TFT5_Poppy_4","type":5,"block":3,"hp":1080},{"name":"TFT5_Udyr","disname":"U2000160_TFT5_Udyr_4","type":5,"block":6,"hp":700},{"name":"TFT5_Soraka","disname":"U2000482_TFT5_Soraka_1","type":5,"block":8,"hp":550},{"name":"TFT5_Riven","disname":"U2000745_TFT5_Riven_1","type":5,"block":8,"hp":800},{"name":"TFT5_Irelia","disname":"U2000712_TFT5_Irelia_1","type":5,"block":8,"hp":750}]}</t>
  </si>
  <si>
    <t>{"success":true,"code":200,"msg":"鎴愬姛","data":[{"fit":0,"name":"TFTChampion","disname":"AkingVock","type":3,"block":7,"hp":20},{"fit":1,"name":"TFTChampion","disname":"淇烘潙淇烘渶绾?,"type":3,"block":8,"hp":18},{"fit":0,"name":"TFTChampion","disname":"skr涓舵氮涓€娴?,"type":3,"block":5,"hp":18},{"fit":0,"name":"TFTChampion","disname":"骞胯タ涓冧竷","type":3,"block":2,"hp":18},{"fit":0,"name":"TFTChampion","disname":"濂戒汉鍧忎汉閮戒細姝?,"type":3,"block":1,"hp":20},{"fit":0,"name":"TFTChampion","disname":"鍗佷笁涓垮摜","type":3,"block":0,"hp":18},{"fit":0,"name":"TFTChampion","disname":"缁堢偣vp","type":3,"block":6,"hp":20},{"name":"TFT5_Varus","disname":"U2000462_TFT5_Varus_1","type":5,"block":0,"hp":600},{"name":"TFT5_Irelia","disname":"U2000701_TFT5_Irelia_1","type":5,"block":0,"hp":750},{"name":"TFT5_Soraka","disname":"U2000491_TFT5_Soraka_1","type":5,"block":0,"hp":550},{"name":"TFT5_Olaf","disname":"U2000402_TFT5_Olaf_1","type":5,"block":7,"hp":650},{"name":"TFT5_Vayne","disname":"U2000124_TFT5_Vayne_1","type":5,"block":7,"hp":500},{"name":"TFT5_Gragas","disname":"U2000313_TFT5_Gragas_1","type":5,"block":7,"hp":750},{"name":"TFT5_Ziggs","disname":"U2000359_TFT5_Ziggs_1","type":5,"block":1,"hp":450},{"name":"TFT5_Khazix","disname":"U2000240_TFT5_Khazix_1","type":5,"block":3,"hp":500},{"name":"TFT5_Tristana","disname":"U2000727_TFT5_Tristana_1","type":5,"block":3,"hp":550},{"name":"TFT5_Zyra","disname":"U2000856_TFT5_Zyra_1","type":5,"block":2,"hp":600},{"name":"TFT5_Rakan","disname":"U2000821_TFT5_Rakan_1","type":5,"block":5,"hp":800},{"name":"TFT5_Udyr","disname":"U2000178_TFT5_Udyr_2","type":5,"block":2,"hp":700},{"name":"TFT5_Soraka","disname":"U2000482_TFT5_Soraka_1","type":5,"block":8,"hp":550},{"name":"TFT5_Riven","disname":"U2000745_TFT5_Riven_1","type":5,"block":8,"hp":800},{"name":"TFT5_Irelia","disname":"U2000712_TFT5_Irelia_1","type":5,"block":8,"hp":750},{"name":"TFT5_Leona","disname":"U2000155_TFT5_Leona_1","type":5,"block":7,"hp":700},{"name":"TFT5_Leona","disname":"U2000151_TFT5_Leona_1","type":5,"block":5,"hp":700},{"name":"TFT5_Udyr","disname":"U2000167_TFT5_Udyr_1","type":5,"block":6,"hp":700},{"name":"TFT5_Pyke","disname":"U2000577_TFT5_Pyke_1","type":5,"block":7,"hp":650},{"name":"TFT5_Kalista","disname":"U2000430_TFT5_Kalista_1","type":5,"block":1,"hp":500},{"name":"TFT5_Aatrox","disname":"U2000073_TFT5_Aatrox_6","type":5,"block":7,"hp":650},{"name":"TFT5_Leona","disname":"U2000142_TFT5_Leona_4","type":5,"block":7,"hp":700},{"name":"TFT5_Irelia","disname":"U2000699_TFT5_Irelia_3","type":5,"block":7,"hp":750},{"name":"TFT5_Vayne","disname":"U2000102_TFT5_Vayne_5","type":5,"block":8,"hp":500},{"name":"TFT5_Thresh","disname":"U2000656_TFT5_Thresh_2","type":5,"block":8,"hp":800},{"name":"TFT5_LeeSin","disname":"U2000763_TFT5_LeeSin_3","type":5,"block":8,"hp":800},{"name":"TFT5_Leona","disname":"U2000131_TFT5_Leona_5","type":5,"block":5,"hp":700},{"name":"TFT5_Poppy","disname":"U2000287_TFT5_Poppy_3","type":5,"block":5,"hp":600},{"name":"TFT5_Nocturne","disname":"U2000950_TFT5_Nocturne_2","type":5,"block":5,"hp":650},{"name":"TFT5_Senna","disname":"U2000364_TFT5_Senna_3","type":5,"block":2,"hp":500},{"name":"TFT5_Tristana","disname":"U2000724_TFT5_Tristana_2","type":5,"block":2,"hp":550},{"name":"TFT5_Lux","disname":"U2000794_TFT5_Lux_2","type":5,"block":2,"hp":600},{"name":"TFT5_Kled","disname":"U2000260_TFT5_Kled_3","type":5,"block":1,"hp":720},{"name":"TFT5_Ziggs","disname":"U2000357_TFT5_Ziggs_4","type":5,"block":1,"hp":450},{"name":"TFT5_Kalista","disname":"U2000421_TFT5_Kalista_6","type":5,"block":1,"hp":900},{"name":"TFT5_Gragas","disname":"U2000333_TFT5_Gragas_3","type":5,"block":0,"hp":1150},{"name":"TFT5_Sejuani","disname":"U2000597_TFT5_Sejuani_3","type":5,"block":0,"hp":1150},{"name":"TFT5_Ashe","disname":"U2000828_TFT5_Ashe_2","type":5,"block":0,"hp":600},{"name":"TFT5_Kled","disname":"U2000261_TFT5_Kled_3","type":5,"block":3,"hp":400},{"name":"TFT5_Poppy","disname":"U2000276_TFT5_Poppy_6","type":5,"block":3,"hp":1080},{"name":"TFT5_Senna","disname":"U2000389_TFT5_Senna_3","type":5,"block":3,"hp":500},{"name":"TFT5_Udyr","disname":"U2000160_TFT5_Udyr_6","type":5,"block":6,"hp":700},{"name":"TFT5_Olaf","disname":"U2000405_TFT5_Olaf_3","type":5,"block":6,"hp":1170},{"name":"TFT5_Sett","disname":"U2000672_TFT5_Sett_3","type":5,"block":6,"hp":800},{"name":"TFT5_Pyke","disname":"U2000582_TFT5_Pyke_1","type":5,"block":7,"hp":650},{"name":"TFT5_Aatrox","disname":"U2000093_TFT5_Aatrox_1","type":5,"block":7,"hp":650},{"name":"TFT5_Kennen","disname":"U2000617_TFT5_Kennen_1","type":5,"block":1,"hp":600},{"name":"TFT5_Poppy","disname":"U2000293_TFT5_Poppy_1","type":5,"block":1,"hp":600},{"name":"TFT5_Vayne","disname":"U2000110_TFT5_Vayne_1","type":5,"block":0,"hp":500},{"name":"TFT5_Gragas","disname":"U2000326_TFT5_Gragas_1","type":5,"block":7,"hp":750}]}</t>
  </si>
  <si>
    <t>{"success":true,"code":200,"msg":"鎴愬姛","data":[{"fit":0,"name":"TFTChampion","disname":"灏歌尩鏄潙","type":3,"block":7,"hp":18},{"fit":1,"name":"TFTChampion","disname":"缁堢偣vp","type":3,"block":8,"hp":18},{"fit":0,"name":"TFTChampion","disname":"ams100235","type":3,"block":5,"hp":18},{"fit":0,"name":"TFTChampion","disname":"娴佷笅娉墠鐭ラ亾骞哥","type":3,"block":2,"hp":18},{"fit":2,"name":"TFTChampion","disname":"蹇冧箣鎵€鍚戞剰褰掑幓","type":3,"block":0,"hp":20},{"fit":0,"name":"TFTChampion","disname":"绁炴洶涓跺潙涔?,"type":3,"block":3,"hp":20},{"fit":0,"name":"TFTChampion","disname":"绾㈢儳楸间付v7","type":3,"block":6,"hp":16},{"name":"TFT5_Ziggs","disname":"U2000350_TFT5_Ziggs_1","type":5,"block":6,"hp":450},{"name":"TFT5_Kalista","disname":"U2000439_TFT5_Kalista_1","type":5,"block":6,"hp":500},{"name":"TFT5_Udyr","disname":"U2000172_TFT5_Udyr_2","type":5,"block":6,"hp":700},{"name":"TFT5_Tristana","disname":"U2000722_TFT5_Tristana_1","type":5,"block":8,"hp":550},{"name":"TFT5_Aatrox","disname":"U2000094_TFT5_Aatrox_1","type":5,"block":7,"hp":650},{"name":"TFT5_Kalista","disname":"U2000428_TFT5_Kalista_1","type":5,"block":7,"hp":500},{"name":"TFT5_Kalista","disname":"U2000440_TFT5_Kalista_1","type":5,"block":5,"hp":500},{"name":"TFT5_Irelia","disname":"U2000712_TFT5_Irelia_1","type":5,"block":7,"hp":750},{"name":"TFT5_Aatrox","disname":"U2000078_TFT5_Aatrox_1","type":5,"block":7,"hp":650},{"name":"TFT5_Ziggs","disname":"U2000349_TFT5_Ziggs_1","type":5,"block":6,"hp":450},{"name":"TFT5_Tristana","disname":"U2000732_TFT5_Tristana_1","type":5,"block":2,"hp":550},{"name":"TFT5_Kalista","disname":"U2000448_TFT5_Kalista_1","type":5,"block":6,"hp":500},{"name":"TFT5_Kennen","disname":"U2000617_TFT5_Kennen_1","type":5,"block":2,"hp":600},{"name":"TFT5_Irelia","disname":"U2000697_TFT5_Irelia_1","type":5,"block":2,"hp":750},{"name":"TFT5_Kennen","disname":"U2000610_TFT5_Kennen_1","type":5,"block":2,"hp":600},{"name":"TFT5_Olaf","disname":"U2000415_TFT5_Olaf_1","type":5,"block":0,"hp":650},{"name":"TFT5_Olaf","disname":"U2000418_TFT5_Olaf_2","type":5,"block":7,"hp":650},{"name":"TFT5_Gragas","disname":"U2000313_TFT5_Gragas_3","type":5,"block":6,"hp":1350},{"name":"TFT5_Poppy","disname":"U2000302_TFT5_Poppy_1","type":5,"block":0,"hp":1080},{"name":"TFT5_Leona","disname":"U2000150_TFT5_Leona_1","type":5,"block":2,"hp":700},{"name":"TFT5_Kled","disname":"U2000255_TFT5_Kled_1","type":5,"block":2,"hp":400},{"name":"TFT5_Tristana","disname":"U2000733_TFT5_Tristana_1","type":5,"block":2,"hp":550},{"name":"TFT5_Tristana","disname":"U2000736_TFT5_Tristana_1","type":5,"block":3,"hp":550},{"name":"TFT5_Poppy","disname":"U2000279_TFT5_Poppy_1","type":5,"block":6,"hp":600},{"name":"TFT5_Poppy","disname":"U2000287_TFT5_Poppy_1","type":5,"block":0,"hp":600},{"name":"TFT5_Aatrox","disname":"U2000090_TFT5_Aatrox_1","type":5,"block":6,"hp":650},{"name":"TFT5_Olaf","disname":"U2000416_TFT5_Olaf_1","type":5,"block":2,"hp":650},{"name":"TFT5_Tristana","disname":"U2000734_TFT5_Tristana_1","type":5,"block":3,"hp":550},{"name":"TFT5_Kalista","disname":"U2000432_TFT5_Kalista_2","type":5,"block":7,"hp":500},{"name":"TFT5_Sejuani","disname":"U2000589_TFT5_Sejuani_3","type":5,"block":7,"hp":750},{"name":"TFT5_Yasuo","disname":"U2000908_TFT5_Yasuo_3","type":5,"block":7,"hp":800},{"name":"TFT5_Senna","disname":"U2000384_TFT5_Senna_6","type":5,"block":8,"hp":500},{"name":"TFT5_Olaf","disname":"U2000420_TFT5_Olaf_5","type":5,"block":8,"hp":1170},{"name":"TFT5_Irelia","disname":"U2000702_TFT5_Irelia_6","type":5,"block":8,"hp":750},{"name":"TFT5_Senna","disname":"U2000370_TFT5_Senna_5","type":5,"block":5,"hp":500},{"name":"TFT5_Kalista","disname":"U2000421_TFT5_Kalista_7","type":5,"block":5,"hp":900},{"name":"TFT5_Brand","disname":"U2000535_TFT5_Brand_4","type":5,"block":5,"hp":600},{"name":"TFT5_Kled","disname":"U2000254_TFT5_Kled_4","type":5,"block":2,"hp":720},{"name":"TFT5_Olaf","disname":"U2000405_TFT5_Olaf_5","type":5,"block":2,"hp":650},{"name":"TFT5_Kalista","disname":"U2000445_TFT5_Kalista_2","type":5,"block":2,"hp":900},{"name":"TFT5_Gragas","disname":"U2000305_TFT5_Gragas_6","type":5,"block":1,"hp":900},{"name":"TFT5_Nautilus","disname":"U2000634_TFT5_Nautilus_4","type":5,"block":1,"hp":750},{"name":"TFT5_Poppy","disname":"U2000303_TFT5_Poppy_4","type":5,"block":0,"hp":1080},{"name":"TFT5_Olaf","disname":"U2000406_TFT5_Olaf_5","type":5,"block":0,"hp":650},{"name":"TFT5_Riven","disname":"U2000742_TFT5_Riven_4","type":5,"block":0,"hp":800},{"name":"TFT5_Udyr","disname":"U2000160_TFT5_Udyr_7","type":5,"block":3,"hp":1260},{"name":"TFT5_Poppy","disname":"U2000276_TFT5_Poppy_4","type":5,"block":3,"hp":1080},{"name":"TFT5_Ziggs","disname":"U2000354_TFT5_Ziggs_4","type":5,"block":3,"hp":810},{"name":"TFT5_Leona","disname":"U2000136_TFT5_Leona_5","type":5,"block":6,"hp":700},{"name":"TFT5_Kled","disname":"U2000270_TFT5_Kled_3","type":5,"block":6,"hp":400},{"name":"TFT5_Poppy","disname":"U2000278_TFT5_Poppy_5","type":5,"block":6,"hp":600}]}</t>
  </si>
  <si>
    <t xml:space="preserve">            </t>
  </si>
  <si>
    <t>{"success":true,"code":200,"msg":"鎴愬姛","data":["TFT5_sold","TFT5_Riven","sold","TFT5_Riven","Sold"]}</t>
  </si>
  <si>
    <r>
      <t>{"success":true,"code":200,"msg":"</t>
    </r>
    <r>
      <rPr>
        <sz val="11"/>
        <color rgb="FF000000"/>
        <rFont val="宋体"/>
        <charset val="134"/>
      </rPr>
      <t>鎴愬姛</t>
    </r>
    <r>
      <rPr>
        <sz val="11"/>
        <color rgb="FF000000"/>
        <rFont val="Calibri"/>
        <family val="2"/>
        <scheme val="minor"/>
      </rPr>
      <t>","data":[{"isme":true,"zt":5,"fit":0,"name":"TFTChampion","disname":"AlphaChess","type":3,"block":1,"hp":100},{"fit":0,"name":"TFTChampion","disname":"</t>
    </r>
    <r>
      <rPr>
        <sz val="11"/>
        <color rgb="FF000000"/>
        <rFont val="宋体"/>
        <charset val="134"/>
      </rPr>
      <t>涓婂崟閮芥</t>
    </r>
    <r>
      <rPr>
        <sz val="11"/>
        <color rgb="FF000000"/>
        <rFont val="Calibri"/>
        <family val="2"/>
        <scheme val="minor"/>
      </rPr>
      <t>€</t>
    </r>
    <r>
      <rPr>
        <sz val="11"/>
        <color rgb="FF000000"/>
        <rFont val="宋体"/>
        <charset val="134"/>
      </rPr>
      <t>曟垜</t>
    </r>
    <r>
      <rPr>
        <sz val="11"/>
        <color rgb="FF000000"/>
        <rFont val="Calibri"/>
        <family val="2"/>
        <scheme val="minor"/>
      </rPr>
      <t>i","type":3,"block":7,"hp":98},{"fit":1,"name":"TFTChampion","disname":"</t>
    </r>
    <r>
      <rPr>
        <sz val="11"/>
        <color rgb="FF000000"/>
        <rFont val="宋体"/>
        <charset val="134"/>
      </rPr>
      <t>灏忕唺楗煎共</t>
    </r>
    <r>
      <rPr>
        <sz val="11"/>
        <color rgb="FF000000"/>
        <rFont val="Calibri"/>
        <family val="2"/>
        <scheme val="minor"/>
      </rPr>
      <t>sweet","type":3,"block":8,"hp":76},{"fit":1,"name":"TFTChampion","disname":"GOD</t>
    </r>
    <r>
      <rPr>
        <sz val="11"/>
        <color rgb="FF000000"/>
        <rFont val="宋体"/>
        <charset val="134"/>
      </rPr>
      <t>鐏琺</t>
    </r>
    <r>
      <rPr>
        <sz val="11"/>
        <color rgb="FF000000"/>
        <rFont val="Calibri"/>
        <family val="2"/>
        <scheme val="minor"/>
      </rPr>
      <t>aster","type":3,"block":5,"hp":94},{"fit":0,"name":"TFTChampion","disname":"emperorheng","type":3,"block":2,"hp":78},{"fit":1,"name":"TFTChampion","disname":"</t>
    </r>
    <r>
      <rPr>
        <sz val="11"/>
        <color rgb="FF000000"/>
        <rFont val="宋体"/>
        <charset val="134"/>
      </rPr>
      <t>姝︽眽姹熷哺鎵涙妸瀛</t>
    </r>
    <r>
      <rPr>
        <sz val="11"/>
        <color rgb="FF000000"/>
        <rFont val="Calibri"/>
        <family val="2"/>
        <scheme val="minor"/>
      </rPr>
      <t>?,"type":3,"block":0,"hp":68},{"fit":1,"name":"TFTChampion","disname":"OCK</t>
    </r>
    <r>
      <rPr>
        <sz val="11"/>
        <color rgb="FF000000"/>
        <rFont val="宋体"/>
        <charset val="134"/>
      </rPr>
      <t>涓禩</t>
    </r>
    <r>
      <rPr>
        <sz val="11"/>
        <color rgb="FF000000"/>
        <rFont val="Calibri"/>
        <family val="2"/>
        <scheme val="minor"/>
      </rPr>
      <t>ON","type":3,"block":3,"hp":80},{"fit":1,"name":"TFTChampion","disname":"</t>
    </r>
    <r>
      <rPr>
        <sz val="11"/>
        <color rgb="FF000000"/>
        <rFont val="宋体"/>
        <charset val="134"/>
      </rPr>
      <t>涓冭姱鐜茬彂</t>
    </r>
    <r>
      <rPr>
        <sz val="11"/>
        <color rgb="FF000000"/>
        <rFont val="Calibri"/>
        <family val="2"/>
        <scheme val="minor"/>
      </rPr>
      <t>Miss","type":3,"block":6,"hp":86},{"name":"TFT5_Irelia","disname":"U2000713_TFT5_Irelia_2","type":5,"block":2,"hp":750},{"name":"TFT5_Poppy","disname":"U2000303_TFT5_Poppy_1","type":5,"block":5,"hp":600},{"name":"TFT5_Olaf","disname":"U2000394_TFT5_Olaf_1","type":5,"block":0,"hp":650},{"name":"TFT5_Kalista","disname":"U2000449_TFT5_Kalista_1","type":5,"block":7,"hp":500},{"name":"TFT5_MissFortune","disname":"U2000932_TFT5_MissFortune_1","type":5,"block":3,"hp":700},{"name":"TFT5_Tristana","disname":"U2000731_TFT5_Tristana_2","type":5,"block":5,"hp":550},{"name":"TFT5_Soraka","disname":"U2000479_TFT5_Soraka_5","type":5,"block":3,"hp":550},{"name":"TFT5_Sejuani","disname":"U2000604_TFT5_Sejuani_2","type":5,"block":8,"hp":750},{"name":"TFT5_Brand","disname":"U2000533_TFT5_Brand_2","type":5,"block":3,"hp":600},{"name":"TFT5_Rakan","disname":"U2000818_TFT5_Rakan_1","type":5,"block":2,"hp":800},{"name":"TFT5_Kled","disname":"U2000259_TFT5_Kled_1","type":5,"block":5,"hp":400},{"name":"TFT5_Olaf","disname":"U2000416_TFT5_Olaf_1","type":5,"block":0,"hp":650},{"name":"TFT5_Aatrox","disname":"U2000088_TFT5_Aatrox_9","type":5,"block":1,"hp":650},{"name":"TFT5_DraconicEgg","disname":"U2001337_TFT5_DraconicEgg_1","type":5,"block":3,"hp":2},{"name":"TFT5_Ziggs","disname":"U2000340_TFT5_Ziggs_1","type":5,"block":5,"hp":450},{"name":"TFT5_Kalista","disname":"U2000443_TFT5_Kalista_1","type":5,"block":6,"hp":500},{"name":"TFT5_Kalista","disname":"U2000425_TFT5_Kalista_1","type":5,"block":1,"hp":500},{"name":"TFT5_Tristana","disname":"U2000728_TFT5_Tristana_1","type":5,"block":5,"hp":550},{"name":"TFT5_MissFortune","disname":"U2000927_TFT5_MissFortune_6","type":5,"block":2,"hp":850},{"name":"TFT5_Kennen","disname":"U2000614_TFT5_Kennen_9","type":5,"block":6,"hp":600},{"name":"TFT5_DraconicEgg","disname":"U2001345_TFT5_DraconicEgg_1","type":5,"block":3,"hp":2},{"name":"TFT5_Yasuo","disname":"U2000904_TFT5_Yasuo_1","type":5,"block":8,"hp":800},{"name":"TFT5_Nocturne","disname":"U2000944_TFT5_Nocturne_1","type":5,"block":2,"hp":650},{"name":"TFT5_Leona","disname":"U2000159_TFT5_Leona_1","type":5,"block":8,"hp":700},{"name":"TFT5_Syndra","disname":"U2000504_TFT5_Syndra_1","type":5,"block":8,"hp":600},{"name":"TFT5_Nidalee","disname":"U2000893_TFT5_Nidalee_1","type":5,"block":3,"hp":800},{"name":"TFT5_Senna","disname":"U2000368_TFT5_Senna_10","type":5,"block":7,"hp":500},{"name":"TFT5_Olaf","disname":"U2000409_TFT5_Olaf_11","type":5,"block":7,"hp":800},{"name":"TFT5_Kalista","disname":"U2000437_TFT5_Kalista_12","type":5,"block":1,"hp":900},{"name":"TFT5_Pyke","disname":"U2000573_TFT5_Pyke_11","type":5,"block":7,"hp":650},{"name":"TFT5_Irelia","disname":"U2000696_TFT5_Irelia_6","type":5,"block":7,"hp":750},{"name":"TFT5_Leona","disname":"U2000131_TFT5_Leona_14","type":5,"block":8,"hp":1260},{"name":"TFT5_LeeSin","disname":"U2000762_TFT5_LeeSin_11","type":5,"block":8,"hp":850},{"name":"TFT5_Ashe","disname":"U2000840_TFT5_Ashe_7","type":5,"block":8,"hp":550},{"name":"TFT5_Yasuo","disname":"U2000902_TFT5_Yasuo_10","type":5,"block":8,"hp":800},{"name":"TFT5_Kled","disname":"U2000273_TFT5_Kled_5","type":5,"block":5,"hp":400},{"name":"TFT5_Poppy","disname":"U2000293_TFT5_Poppy_9","type":5,"block":5,"hp":600},{"name":"TFT5_Ziggs","disname":"U2000344_TFT5_Ziggs_11","type":5,"block":5,"hp":810},{"name":"TFT5_Lulu","disname":"U2000776_TFT5_Lulu_6","type":5,"block":5,"hp":650},{"name":"TFT5_Aatrox","disname":"U2000081_TFT5_Aatrox_4","type":5,"block":2,"hp":650},{"name":"TFT5_Khazix","disname":"U2000232_TFT5_Khazix_4","type":5,"block":1,"hp":900},{"name":"TFT5_Lux","disname":"U2000804_TFT5_Lux_8","type":5,"block":2,"hp":600},{"name":"TFT5_Nidalee","disname":"U2000882_TFT5_Nidalee_5","type":5,"block":2,"hp":800},{"name":"TFT5_Nocturne","disname":"U2000953_TFT5_Nocturne_9","type":5,"block":2,"hp":650},{"name":"TFT5_Gragas","disname":"U2000316_TFT5_Gragas_10","type":5,"block":2,"hp":1350},{"name":"TFT5_Senna","disname":"U2000381_TFT5_Senna_10","type":5,"block":3,"hp":900},{"name":"TFT5_Olaf","disname":"U2000397_TFT5_Olaf_8","type":5,"block":2,"hp":1170},{"name":"TFT5_Riven","disname":"U2000751_TFT5_Riven_2","type":5,"block":1,"hp":850},{"name":"TFT5_Rakan","disname":"U2000827_TFT5_Rakan_12","type":5,"block":2,"hp":800},{"name":"TFT5_Udyr","disname":"U2000188_TFT5_Udyr_6","type":5,"block":0,"hp":700},{"name":"TFT5_Kled","disname":"U2000261_TFT5_Kled_7","type":5,"block":0,"hp":400},{"name":"TFT5_Sejuani","disname":"U2000602_TFT5_Sejuani_2","type":5,"block":1,"hp":750},{"name":"TFT5_Kennen","disname":"U2000606_TFT5_Kennen_7","type":5,"block":0,"hp":600},{"name":"TFT5_LeeSin","disname":"U2000759_TFT5_LeeSin_6","type":5,"block":0,"hp":850},{"name":"TFT5_Udyr","disname":"U2000165_TFT5_Udyr_11","type":5,"block":3,"hp":1260},{"name":"TFT5_Vladimir","disname":"U2000192_TFT5_Vladimir_10","type":5,"block":1,"hp":1170},{"name":"TFT5_Kalista","disname":"U2000429_TFT5_Kalista_12","type":5,"block":3,"hp":900},{"name":"TFT5_Sett","disname":"U2000692_TFT5_Sett_4","type":5,"block":3,"hp":750},{"name":"TFT5_Zyra","disname":"U2000850_TFT5_Zyra_6","type":5,"block":3,"hp":600},{"name":"TFT5_Poppy","disname":"U2000294_TFT5_Poppy_10","type":5,"block":6,"hp":600},{"name":"TFT5_Kalista","disname":"U2000421_TFT5_Kalista_11","type":5,"block":6,"hp":900},{"name":"TFT5_LeeSin","disname":"U2000772_TFT5_LeeSin_5","type":5,"block":6,"hp":1530},{"name":"TFT5_Ashe","disname":"U2000833_TFT5_Ashe_11","type":5,"block":6,"hp":550},{"name":"TFT5_Yasuo","disname":"U2000916_TFT5_Yasuo_6","type":5,"block":1,"hp":800}]}</t>
    </r>
  </si>
  <si>
    <t>{"success":true,"code":200,"msg":"鎴愬姛","data":[{"fit":0,"name":"TFTChampion","disname":"鎷夐噷鎷夊ス","type":3,"block":7,"hp":20},{"fit":0,"name":"TFTChampion","disname":"鏅撻Y娈嬫湀","type":3,"block":8,"hp":20},{"fit":0,"name":"TFTChampion","disname":"鍧戝晩鍟婂潙123","type":3,"block":5,"hp":20},{"fit":0,"name":"TFTChampion","disname":"缁堢偣vp","type":3,"block":2,"hp":20},{"fit":0,"name":"TFTChampion","disname":"鍥芥湇绗簩鏋帇","type":3,"block":1,"hp":20},{"fit":0,"name":"TFTChampion","disname":"Lfcr","type":3,"block":0,"hp":20},{"fit":0,"name":"TFTChampion","disname":"鏂楅奔8906703","type":3,"block":6,"hp":20},{"name":"TFT5_Udyr","disname":"U2000160_TFT5_Udyr_2","type":5,"block":7,"hp":700},{"name":"TFT5_Gragas","disname":"U2000305_TFT5_Gragas_2","type":5,"block":8,"hp":750},{"name":"TFT5_Olaf","disname":"U2000392_TFT5_Olaf_2","type":5,"block":5,"hp":650},{"name":"TFT5_Senna","disname":"U2000363_TFT5_Senna_2","type":5,"block":2,"hp":500},{"name":"TFT5_Aatrox","disname":"U2000073_TFT5_Aatrox_2","type":5,"block":1,"hp":800},{"name":"TFT5_Leona","disname":"U2000131_TFT5_Leona_2","type":5,"block":0,"hp":700},{"name":"TFT5_Poppy","disname":"U2000276_TFT5_Poppy_2","type":5,"block":3,"hp":600},{"name":"TFT5_Ziggs","disname":"U2000334_TFT5_Ziggs_2","type":5,"block":6,"hp":450}]}</t>
  </si>
  <si>
    <t>{"success":true,"code":200,"msg":"鎴愬姛","data":[{"fit":0,"name":"TFTChampion","disname":"鎷夐噷鎷夊ス","type":3,"block":7,"hp":20},{"fit":0,"name":"TFTChampion","disname":"鏅撻Y娈嬫湀","type":3,"block":8,"hp":20},{"fit":0,"name":"TFTChampion","disname":"鍧戝晩鍟婂潙123","type":3,"block":5,"hp":20},{"fit":0,"name":"TFTChampion","disname":"缁堢偣vp","type":3,"block":2,"hp":20},{"fit":0,"name":"TFTChampion","disname":"鍥芥湇绗簩鏋帇","type":3,"block":1,"hp":20},{"fit":1,"name":"TFTChampion","disname":"Lfcr","type":3,"block":0,"hp":20},{"fit":0,"name":"TFTChampion","disname":"鏂楅奔8906703","type":3,"block":6,"hp":20},{"name":"TFT5_Yasuo","disname":"U2000905_TFT5_Yasuo_1","type":5,"block":8,"hp":800},{"name":"TFT5_Nautilus","disname":"U2000645_TFT5_Nautilus_1","type":5,"block":8,"hp":750},{"name":"TFT5_Aatrox","disname":"U2000073_TFT5_Aatrox_3","type":5,"block":1,"hp":800},{"name":"TFT5_Ziggs","disname":"U2000351_TFT5_Ziggs_1","type":5,"block":1,"hp":450},{"name":"TFT5_Olaf","disname":"U2000419_TFT5_Olaf_1","type":5,"block":2,"hp":650},{"name":"TFT5_Leona","disname":"U2000147_TFT5_Leona_1","type":5,"block":0,"hp":700},{"name":"TFT5_Ziggs","disname":"U2000335_TFT5_Ziggs_1","type":5,"block":0,"hp":450},{"name":"TFT5_Ziggs","disname":"U2000345_TFT5_Ziggs_1","type":5,"block":0,"hp":450},{"name":"TFT5_Poppy","disname":"U2000291_TFT5_Poppy_1","type":5,"block":8,"hp":600},{"name":"TFT5_Ziggs","disname":"U2000343_TFT5_Ziggs_1","type":5,"block":8,"hp":450},{"name":"TFT5_Poppy","disname":"U2000295_TFT5_Poppy_1","type":5,"block":1,"hp":600},{"name":"TFT5_Khazix","disname":"U2000234_TFT5_Khazix_1","type":5,"block":8,"hp":500},{"name":"TFT5_Udyr","disname":"U2000176_TFT5_Udyr_1","type":5,"block":8,"hp":700},{"name":"TFT5_Lulu","disname":"U2000791_TFT5_Lulu_1","type":5,"block":1,"hp":650},{"name":"TFT5_Nocturne","disname":"U2000948_TFT5_Nocturne_1","type":5,"block":1,"hp":650},{"name":"TFT5_Aatrox","disname":"U2000090_TFT5_Aatrox_1","type":5,"block":3,"hp":650},{"name":"TFT5_Udyr","disname":"U2000160_TFT5_Udyr_4","type":5,"block":7,"hp":700},{"name":"TFT5_Poppy","disname":"U2000303_TFT5_Poppy_2","type":5,"block":7,"hp":600},{"name":"TFT5_Gragas","disname":"U2000305_TFT5_Gragas_4","type":5,"block":8,"hp":750},{"name":"TFT5_Olaf","disname":"U2000411_TFT5_Olaf_2","type":5,"block":8,"hp":650},{"name":"TFT5_Olaf","disname":"U2000392_TFT5_Olaf_4","type":5,"block":5,"hp":650},{"name":"TFT5_Senna","disname":"U2000363_TFT5_Senna_4","type":5,"block":2,"hp":500},{"name":"TFT5_Olaf","disname":"U2000401_TFT5_Olaf_2","type":5,"block":2,"hp":650},{"name":"TFT5_Kled","disname":"U2000271_TFT5_Kled_2","type":5,"block":1,"hp":400},{"name":"TFT5_Ziggs","disname":"U2000347_TFT5_Ziggs_2","type":5,"block":1,"hp":450},{"name":"TFT5_Leona","disname":"U2000131_TFT5_Leona_4","type":5,"block":0,"hp":700},{"name":"TFT5_Poppy","disname":"U2000283_TFT5_Poppy_2","type":5,"block":0,"hp":600},{"name":"TFT5_Poppy","disname":"U2000276_TFT5_Poppy_4","type":5,"block":3,"hp":600},{"name":"TFT5_Poppy","disname":"U2000281_TFT5_Poppy_2","type":5,"block":3,"hp":600},{"name":"TFT5_Ziggs","disname":"U2000334_TFT5_Ziggs_4","type":5,"block":6,"hp":450}]}</t>
  </si>
  <si>
    <t>{"success":true,"code":200,"msg":"鎴愬姛","data":[{"fit":0,"name":"TFTChampion","disname":"鎷夐噷鎷夊ス","type":3,"block":7,"hp":20},{"fit":0,"name":"TFTChampion","disname":"鏅撻Y娈嬫湀","type":3,"block":8,"hp":20},{"fit":0,"name":"TFTChampion","disname":"鍧戝晩鍟婂潙123","type":3,"block":5,"hp":20},{"fit":0,"name":"TFTChampion","disname":"缁堢偣vp","type":3,"block":2,"hp":20},{"fit":0,"name":"TFTChampion","disname":"鍥芥湇绗簩鏋帇","type":3,"block":1,"hp":20},{"fit":1,"name":"TFTChampion","disname":"Lfcr","type":3,"block":0,"hp":20},{"fit":0,"name":"TFTChampion","disname":"鏂楅奔8906703","type":3,"block":6,"hp":20},{"name":"TFT5_Yasuo","disname":"U2000905_TFT5_Yasuo_1","type":5,"block":8,"hp":800},{"name":"TFT5_Nautilus","disname":"U2000645_TFT5_Nautilus_1","type":5,"block":8,"hp":750},{"name":"TFT5_Aatrox","disname":"U2000073_TFT5_Aatrox_3","type":5,"block":1,"hp":800},{"name":"TFT5_Olaf","disname":"U2000419_TFT5_Olaf_1","type":5,"block":2,"hp":650},{"name":"TFT5_Leona","disname":"U2000147_TFT5_Leona_1","type":5,"block":0,"hp":700},{"name":"TFT5_Ziggs","disname":"U2000335_TFT5_Ziggs_1","type":5,"block":0,"hp":450},{"name":"TFT5_Ziggs","disname":"U2000345_TFT5_Ziggs_1","type":5,"block":0,"hp":450},{"name":"TFT5_Poppy","disname":"U2000291_TFT5_Poppy_1","type":5,"block":8,"hp":600},{"name":"TFT5_Ziggs","disname":"U2000343_TFT5_Ziggs_1","type":5,"block":8,"hp":450},{"name":"TFT5_Poppy","disname":"U2000295_TFT5_Poppy_1","type":5,"block":1,"hp":600},{"name":"TFT5_Khazix","disname":"U2000234_TFT5_Khazix_1","type":5,"block":8,"hp":500},{"name":"TFT5_Udyr","disname":"U2000176_TFT5_Udyr_1","type":5,"block":8,"hp":700},{"name":"TFT5_Lulu","disname":"U2000791_TFT5_Lulu_1","type":5,"block":1,"hp":650},{"name":"TFT5_Nocturne","disname":"U2000948_TFT5_Nocturne_1","type":5,"block":1,"hp":650},{"name":"TFT5_Aatrox","disname":"U2000090_TFT5_Aatrox_1","type":5,"block":3,"hp":650},{"name":"TFT5_Udyr","disname":"U2000160_TFT5_Udyr_4","type":5,"block":7,"hp":700},{"name":"TFT5_Poppy","disname":"U2000303_TFT5_Poppy_2","type":5,"block":7,"hp":600},{"name":"TFT5_Gragas","disname":"U2000305_TFT5_Gragas_4","type":5,"block":8,"hp":750},{"name":"TFT5_Olaf","disname":"U2000411_TFT5_Olaf_2","type":5,"block":8,"hp":650},{"name":"TFT5_Olaf","disname":"U2000392_TFT5_Olaf_4","type":5,"block":5,"hp":650},{"name":"TFT5_Senna","disname":"U2000363_TFT5_Senna_4","type":5,"block":2,"hp":500},{"name":"TFT5_Olaf","disname":"U2000401_TFT5_Olaf_2","type":5,"block":2,"hp":650},{"name":"TFT5_Kled","disname":"U2000271_TFT5_Kled_2","type":5,"block":1,"hp":400},{"name":"TFT5_Ziggs","disname":"U2000347_TFT5_Ziggs_2","type":5,"block":1,"hp":810},{"name":"TFT5_Leona","disname":"U2000131_TFT5_Leona_4","type":5,"block":0,"hp":700},{"name":"TFT5_Poppy","disname":"U2000283_TFT5_Poppy_2","type":5,"block":0,"hp":600},{"name":"TFT5_Poppy","disname":"U2000276_TFT5_Poppy_4","type":5,"block":3,"hp":600},{"name":"TFT5_Poppy","disname":"U2000281_TFT5_Poppy_2","type":5,"block":3,"hp":600},{"name":"TFT5_Ziggs","disname":"U2000334_TFT5_Ziggs_4","type":5,"block":6,"hp":450},{"name":"TFT5_Poppy","disname":"U2000277_TFT5_Poppy_1","type":5,"block":1,"hp":600},{"name":"TFT5_Lulu","disname":"U2000776_TFT5_Lulu_1","type":5,"block":0,"hp":650},{"name":"TFT5_Lux","disname":"U2000809_TFT5_Lux_1","type":5,"block":0,"hp":600}]}</t>
  </si>
  <si>
    <t>{"success":true,"code":200,"msg":"鎴愬姛","data":["Sold","TFT5_Vladimir","Sold","TFT5_Udyr","Sold"]}</t>
  </si>
  <si>
    <t>{"success":true,"code":200,"msg":"鎴愬姛","data":[{"fit":0,"name":"TFTChampion","disname":"鎷夐噷鎷夊ス","type":3,"block":7,"hp":20},{"fit":0,"name":"TFTChampion","disname":"鏅撻Y娈嬫湀","type":3,"block":8,"hp":20},{"fit":0,"name":"TFTChampion","disname":"鍧戝晩鍟婂潙123","type":3,"block":5,"hp":20},{"fit":0,"name":"TFTChampion","disname":"缁堢偣vp","type":3,"block":2,"hp":20},{"fit":0,"name":"TFTChampion","disname":"鍥芥湇绗簩鏋帇","type":3,"block":1,"hp":20},{"fit":1,"name":"TFTChampion","disname":"Lfcr","type":3,"block":0,"hp":20},{"fit":0,"name":"TFTChampion","disname":"鏂楅奔8906703","type":3,"block":6,"hp":20},{"name":"TFT5_Yasuo","disname":"U2000905_TFT5_Yasuo_1","type":5,"block":8,"hp":800},{"name":"TFT5_Nautilus","disname":"U2000645_TFT5_Nautilus_1","type":5,"block":8,"hp":750},{"name":"TFT5_Olaf","disname":"U2000419_TFT5_Olaf_1","type":5,"block":2,"hp":1170},{"name":"TFT5_Leona","disname":"U2000147_TFT5_Leona_1","type":5,"block":0,"hp":700},{"name":"TFT5_Ziggs","disname":"U2000335_TFT5_Ziggs_1","type":5,"block":0,"hp":450},{"name":"TFT5_Ziggs","disname":"U2000345_TFT5_Ziggs_1","type":5,"block":0,"hp":450},{"name":"TFT5_Poppy","disname":"U2000291_TFT5_Poppy_1","type":5,"block":8,"hp":600},{"name":"TFT5_Ziggs","disname":"U2000343_TFT5_Ziggs_1","type":5,"block":8,"hp":450},{"name":"TFT5_Poppy","disname":"U2000295_TFT5_Poppy_1","type":5,"block":1,"hp":600},{"name":"TFT5_Khazix","disname":"U2000234_TFT5_Khazix_1","type":5,"block":8,"hp":500},{"name":"TFT5_Lulu","disname":"U2000791_TFT5_Lulu_1","type":5,"block":1,"hp":650},{"name":"TFT5_Aatrox","disname":"U2000090_TFT5_Aatrox_1","type":5,"block":3,"hp":650},{"name":"TFT5_Udyr","disname":"U2000160_TFT5_Udyr_4","type":5,"block":7,"hp":700},{"name":"TFT5_Poppy","disname":"U2000303_TFT5_Poppy_2","type":5,"block":7,"hp":600},{"name":"TFT5_Gragas","disname":"U2000305_TFT5_Gragas_4","type":5,"block":8,"hp":750},{"name":"TFT5_Olaf","disname":"U2000411_TFT5_Olaf_2","type":5,"block":8,"hp":650},{"name":"TFT5_Olaf","disname":"U2000392_TFT5_Olaf_4","type":5,"block":5,"hp":650},{"name":"TFT5_Senna","disname":"U2000363_TFT5_Senna_4","type":5,"block":2,"hp":900},{"name":"TFT5_Kled","disname":"U2000271_TFT5_Kled_2","type":5,"block":1,"hp":400},{"name":"TFT5_Ziggs","disname":"U2000347_TFT5_Ziggs_2","type":5,"block":1,"hp":810},{"name":"TFT5_Leona","disname":"U2000131_TFT5_Leona_4","type":5,"block":0,"hp":700},{"name":"TFT5_Poppy","disname":"U2000283_TFT5_Poppy_2","type":5,"block":0,"hp":600},{"name":"TFT5_Poppy","disname":"U2000276_TFT5_Poppy_4","type":5,"block":3,"hp":600},{"name":"TFT5_Poppy","disname":"U2000281_TFT5_Poppy_2","type":5,"block":3,"hp":600},{"name":"TFT5_Ziggs","disname":"U2000334_TFT5_Ziggs_4","type":5,"block":6,"hp":450},{"name":"TFT5_Poppy","disname":"U2000277_TFT5_Poppy_1","type":5,"block":1,"hp":600},{"name":"TFT5_Lux","disname":"U2000809_TFT5_Lux_1","type":5,"block":0,"hp":600},{"name":"TFT5_Irelia","disname":"U2000712_TFT5_Irelia_1","type":5,"block":0,"hp":750},{"name":"TFT5_Kled","disname":"U2000272_TFT5_Kled_1","type":5,"block":8,"hp":400},{"name":"TFT5_Olaf","disname":"U2000407_TFT5_Olaf_1","type":5,"block":0,"hp":650},{"name":"TFT5_Senna","disname":"U2000387_TFT5_Senna_1","type":5,"block":0,"hp":500},{"name":"TFT5_Olaf","disname":"U2000399_TFT5_Olaf_1","type":5,"block":2,"hp":650},{"name":"TFT5_Senna","disname":"U2000388_TFT5_Senna_1","type":5,"block":2,"hp":500}]}</t>
  </si>
  <si>
    <t>{"success":true,"code":200,"msg":"鎴愬姛","data":[{"fit":0,"name":"TFTChampion","disname":"鎷夐噷鎷夊ス","type":3,"block":7,"hp":20},{"fit":0,"name":"TFTChampion","disname":"鏅撻Y娈嬫湀","type":3,"block":8,"hp":20},{"fit":0,"name":"TFTChampion","disname":"鍧戝晩鍟婂潙123","type":3,"block":5,"hp":18},{"fit":0,"name":"TFTChampion","disname":"缁堢偣vp","type":3,"block":2,"hp":20},{"fit":0,"name":"TFTChampion","disname":"鍥芥湇绗簩鏋帇","type":3,"block":1,"hp":20},{"fit":1,"name":"TFTChampion","disname":"Lfcr","type":3,"block":0,"hp":18},{"fit":0,"name":"TFTChampion","disname":"鏂楅奔8906703","type":3,"block":6,"hp":18},{"name":"TFT5_Nautilus","disname":"U2000645_TFT5_Nautilus_1","type":5,"block":8,"hp":750},{"name":"TFT5_Leona","disname":"U2000147_TFT5_Leona_1","type":5,"block":0,"hp":700},{"name":"TFT5_Poppy","disname":"U2000291_TFT5_Poppy_1","type":5,"block":8,"hp":600},{"name":"TFT5_Ziggs","disname":"U2000343_TFT5_Ziggs_1","type":5,"block":8,"hp":450},{"name":"TFT5_Poppy","disname":"U2000295_TFT5_Poppy_1","type":5,"block":1,"hp":600},{"name":"TFT5_Poppy","disname":"U2000277_TFT5_Poppy_1","type":5,"block":1,"hp":600},{"name":"TFT5_Lux","disname":"U2000809_TFT5_Lux_1","type":5,"block":0,"hp":600},{"name":"TFT5_Irelia","disname":"U2000712_TFT5_Irelia_1","type":5,"block":0,"hp":750},{"name":"TFT5_Kled","disname":"U2000272_TFT5_Kled_1","type":5,"block":8,"hp":400},{"name":"TFT5_Olaf","disname":"U2000407_TFT5_Olaf_1","type":5,"block":0,"hp":650},{"name":"TFT5_Senna","disname":"U2000387_TFT5_Senna_1","type":5,"block":0,"hp":500},{"name":"TFT5_Senna","disname":"U2000388_TFT5_Senna_1","type":5,"block":2,"hp":500},{"name":"TFT5_Udyr","disname":"U2000160_TFT5_Udyr_5","type":5,"block":7,"hp":700},{"name":"TFT5_Poppy","disname":"U2000303_TFT5_Poppy_3","type":5,"block":7,"hp":600},{"name":"TFT5_Khazix","disname":"U2000234_TFT5_Khazix_2","type":5,"block":8,"hp":500},{"name":"TFT5_Gragas","disname":"U2000305_TFT5_Gragas_5","type":5,"block":8,"hp":750},{"name":"TFT5_Yasuo","disname":"U2000905_TFT5_Yasuo_2","type":5,"block":8,"hp":800},{"name":"TFT5_Olaf","disname":"U2000392_TFT5_Olaf_6","type":5,"block":5,"hp":650},{"name":"TFT5_Senna","disname":"U2000363_TFT5_Senna_5","type":5,"block":2,"hp":900},{"name":"TFT5_Olaf","disname":"U2000419_TFT5_Olaf_2","type":5,"block":2,"hp":1170},{"name":"TFT5_Pyke","disname":"U2000568_TFT5_Pyke_2","type":5,"block":2,"hp":650},{"name":"TFT5_Kled","disname":"U2000271_TFT5_Kled_3","type":5,"block":1,"hp":400},{"name":"TFT5_Ziggs","disname":"U2000347_TFT5_Ziggs_3","type":5,"block":1,"hp":810},{"name":"TFT5_Lulu","disname":"U2000791_TFT5_Lulu_2","type":5,"block":1,"hp":800},{"name":"TFT5_Leona","disname":"U2000131_TFT5_Leona_6","type":5,"block":0,"hp":700},{"name":"TFT5_Poppy","disname":"U2000283_TFT5_Poppy_4","type":5,"block":0,"hp":600},{"name":"TFT5_Ziggs","disname":"U2000345_TFT5_Ziggs_3","type":5,"block":0,"hp":450},{"name":"TFT5_Aatrox","disname":"U2000090_TFT5_Aatrox_3","type":5,"block":3,"hp":650},{"name":"TFT5_Poppy","disname":"U2000276_TFT5_Poppy_6","type":5,"block":3,"hp":1080},{"name":"TFT5_Ziggs","disname":"U2000334_TFT5_Ziggs_6","type":5,"block":6,"hp":450}]}</t>
  </si>
  <si>
    <t>{"success":true,"code":200,"msg":"鎴愬姛","data":[{"fit":0,"name":"TFTChampion","disname":"涓▃kram鍐颁箣","type":3,"block":8,"hp":16},{"fit":1,"name":"TFTChampion","disname":"鍣滃暒鍟︽仼甯?,"type":3,"block":5,"hp":20},{"fit":0,"name":"TFTChampion","disname":"ariatvxq","type":3,"block":2,"hp":16},{"fit":0,"name":"TFTChampion","disname":"Q浣犲鑴镐笂鐤媯E","type":3,"block":1,"hp":18},{"fit":1,"name":"TFTChampion","disname":"THANATOS绉﹀窛","type":3,"block":0,"hp":18},{"fit":0,"name":"TFTChampion","disname":"浣欑敓鎰挎槸鎮?20","type":3,"block":3,"hp":20},{"fit":0,"name":"TFTChampion","disname":"鐐繄鐐嚭璐?,"type":3,"block":6,"hp":14},{"name":"TFT5_Aatrox","disname":"U2000074_TFT5_Aatrox_1","type":5,"block":3,"hp":650},{"name":"TFT5_Kled","disname":"U2000271_TFT5_Kled_3","type":5,"block":8,"hp":400},{"name":"TFT5_Rakan","disname":"U2000826_TFT5_Rakan_3","type":5,"block":0,"hp":800},{"name":"TFT5_Olaf","disname":"U2000393_TFT5_Olaf_1","type":5,"block":1,"hp":650},{"name":"TFT5_Senna","disname":"U2000389_TFT5_Senna_1","type":5,"block":1,"hp":500},{"name":"TFT5_Sejuani","disname":"U2000603_TFT5_Sejuani_1","type":5,"block":0,"hp":750},{"name":"TFT5_Kennen","disname":"U2000615_TFT5_Kennen_1","type":5,"block":2,"hp":600},{"name":"TFT5_Pyke","disname":"U2000565_TFT5_Pyke_1","type":5,"block":3,"hp":650},{"name":"TFT5_Thresh","disname":"U2000654_TFT5_Thresh_1","type":5,"block":0,"hp":800},{"name":"TFT5_Tristana","disname":"U2000721_TFT5_Tristana_1","type":5,"block":8,"hp":550},{"name":"TFT5_Varus","disname":"U2000454_TFT5_Varus_1","type":5,"block":3,"hp":600},{"name":"TFT5_Syndra","disname":"U2000514_TFT5_Syndra_1","type":5,"block":3,"hp":600},{"name":"TFT5_Brand","disname":"U2000532_TFT5_Brand_1","type":5,"block":2,"hp":600},{"name":"TFT5_Leona","disname":"U2000156_TFT5_Leona_1","type":5,"block":6,"hp":700},{"name":"TFT5_Vladimir","disname":"U2000204_TFT5_Vladimir_6","type":5,"block":7,"hp":650},{"name":"TFT5_Senna","disname":"U2000376_TFT5_Senna_6","type":5,"block":7,"hp":900},{"name":"TFT5_Irelia","disname":"U2000714_TFT5_Irelia_3","type":5,"block":7,"hp":750},{"name":"TFT5_Vayne","disname":"U2000102_TFT5_Vayne_8","type":5,"block":8,"hp":500},{"name":"TFT5_Kled","disname":"U2000258_TFT5_Kled_5","type":5,"block":8,"hp":400},{"name":"TFT5_Kalista","disname":"U2000435_TFT5_Kalista_4","type":5,"block":8,"hp":1050},{"name":"TFT5_MissFortune","disname":"U2000918_TFT5_MissFortune_3","type":5,"block":8,"hp":700},{"name":"TFT5_Kled","disname":"U2000249_TFT5_Kled_4","type":5,"block":5,"hp":720},{"name":"TFT5_Poppy","disname":"U2000280_TFT5_Poppy_4","type":5,"block":5,"hp":1080},{"name":"TFT5_Ziggs","disname":"U2000344_TFT5_Ziggs_4","type":5,"block":5,"hp":810},{"name":"TFT5_Tristana","disname":"U2000728_TFT5_Tristana_2","type":5,"block":5,"hp":990},{"name":"TFT5_Kled","disname":"U2000263_TFT5_Kled_5","type":5,"block":2,"hp":720},{"name":"TFT5_Ziggs","disname":"U2000336_TFT5_Ziggs_6","type":5,"block":2,"hp":810},{"name":"TFT5_Brand","disname":"U2000523_TFT5_Brand_2","type":5,"block":2,"hp":600},{"name":"TFT5_Kennen","disname":"U2000612_TFT5_Kennen_5","type":5,"block":2,"hp":600},{"name":"TFT5_Senna","disname":"U2000372_TFT5_Senna_6","type":5,"block":1,"hp":900},{"name":"TFT5_Olaf","disname":"U2000401_TFT5_Olaf_7","type":5,"block":1,"hp":1170},{"name":"TFT5_Pyke","disname":"U2000582_TFT5_Pyke_7","type":5,"block":1,"hp":650},{"name":"TFT5_Irelia","disname":"U2000702_TFT5_Irelia_2","type":5,"block":1,"hp":750},{"name":"TFT5_Kled","disname":"U2000252_TFT5_Kled_4","type":5,"block":0,"hp":400},{"name":"TFT5_Ziggs","disname":"U2000334_TFT5_Ziggs_9","type":5,"block":0,"hp":810},{"name":"TFT5_Kalista","disname":"U2000431_TFT5_Kalista_7","type":5,"block":0,"hp":900},{"name":"TFT5_Sejuani","disname":"U2000597_TFT5_Sejuani_2","type":5,"block":0,"hp":750},{"name":"TFT5_Leona","disname":"U2000148_TFT5_Leona_3","type":5,"block":3,"hp":1260},{"name":"TFT5_Senna","disname":"U2000363_TFT5_Senna_10","type":5,"block":3,"hp":900},{"name":"TFT5_Olaf","disname":"U2000411_TFT5_Olaf_8","type":5,"block":3,"hp":650},{"name":"TFT5_Pyke","disname":"U2000576_TFT5_Pyke_7","type":5,"block":3,"hp":650},{"name":"TFT5_Leona","disname":"U2000154_TFT5_Leona_6","type":5,"block":6,"hp":1260},{"name":"TFT5_Leona","disname":"U2000155_TFT5_Leona_4","type":5,"block":6,"hp":700},{"name":"TFT5_Khazix","disname":"U2000233_TFT5_Khazix_5","type":5,"block":6,"hp":900},{"name":"TFT5_Kled","disname":"U2000254_TFT5_Kled_1","type":5,"block":2,"hp":400},{"name":"TFT5_Kled","disname":"U2000264_TFT5_Kled_1","type":5,"block":2,"hp":400},{"name":"TFT5_Vayne","disname":"U2000104_TFT5_Vayne_1","type":5,"block":8,"hp":500}]}</t>
  </si>
  <si>
    <t>{"success":true,"code":200,"msg":"鎴愬姛","data":[{"fit":0,"name":"TFTChampion","disname":"鎹曢鐨勬氮瀛怷","type":3,"block":7,"hp":20},{"fit":0,"name":"TFTChampion","disname":"鐐界儹鍝﹂┈鍝?,"type":3,"block":8,"hp":20},{"fit":0,"name":"TFTChampion","disname":"鎵у康LDC","type":3,"block":2,"hp":20},{"fit":0,"name":"TFTChampion","disname":"鍦ㄤ汉闂村噾鏁扮殑寮熷紵","type":3,"block":1,"hp":20},{"fit":0,"name":"TFTChampion","disname":"鐐繄鐐嚭璐?,"type":3,"block":0,"hp":20},{"fit":0,"name":"TFTChampion","disname":"涓嶆潵鏂瑰鍒?,"type":3,"block":3,"hp":20},{"fit":0,"name":"TFTChampion","disname":"Super涓縍ampage","type":3,"block":6,"hp":20},{"name":"TFT5_Ziggs","disname":"U2000334_TFT5_Ziggs_2","type":5,"block":7,"hp":600},{"name":"TFT5_Aatrox","disname":"U2000073_TFT5_Aatrox_2","type":5,"block":8,"hp":650},{"name":"TFT5_Kalista","disname":"U2000421_TFT5_Kalista_2","type":5,"block":5,"hp":500},{"name":"TFT5_Kled","disname":"U2000247_TFT5_Kled_2","type":5,"block":2,"hp":400},{"name":"TFT5_Gragas","disname":"U2000305_TFT5_Gragas_2","type":5,"block":1,"hp":750},{"name":"TFT5_Poppy","disname":"U2000276_TFT5_Poppy_2","type":5,"block":0,"hp":600},{"name":"TFT5_Vladimir","disname":"U2000189_TFT5_Vladimir_2","type":5,"block":3,"hp":650},{"name":"TFT5_Senna","disname":"U2000363_TFT5_Senna_2","type":5,"block":6,"hp":500}]}</t>
  </si>
  <si>
    <t>{"success":true,"code":200,"msg":"鎴愬姛","data":[{"fit":0,"name":"TFTChampion","disname":"鎹曢鐨勬氮瀛怷","type":3,"block":7,"hp":20},{"fit":0,"name":"TFTChampion","disname":"鐐界儹鍝﹂┈鍝?,"type":3,"block":8,"hp":20},{"fit":0,"name":"TFTChampion","disname":"鎵у康LDC","type":3,"block":2,"hp":20},{"fit":0,"name":"TFTChampion","disname":"鍦ㄤ汉闂村噾鏁扮殑寮熷紵","type":3,"block":1,"hp":20},{"fit":0,"name":"TFTChampion","disname":"鐐繄鐐嚭璐?,"type":3,"block":0,"hp":20},{"fit":0,"name":"TFTChampion","disname":"涓嶆潵鏂瑰鍒?,"type":3,"block":3,"hp":20},{"fit":0,"name":"TFTChampion","disname":"Super涓縍ampage","type":3,"block":6,"hp":20},{"name":"TFT5_Yasuo","disname":"U2000913_TFT5_Yasuo_1","type":5,"block":0,"hp":800},{"name":"TFT5_Lulu","disname":"U2000789_TFT5_Lulu_1","type":5,"block":0,"hp":650},{"name":"TFT5_Nautilus","disname":"U2000639_TFT5_Nautilus_1","type":5,"block":0,"hp":750},{"name":"TFT5_LeeSin","disname":"U2000773_TFT5_LeeSin_1","type":5,"block":8,"hp":800},{"name":"TFT5_Nautilus","disname":"U2000631_TFT5_Nautilus_1","type":5,"block":8,"hp":750},{"name":"TFT5_MissFortune","disname":"U2000935_TFT5_MissFortune_1","type":5,"block":7,"hp":700},{"name":"TFT5_Ziggs","disname":"U2000334_TFT5_Ziggs_3","type":5,"block":7,"hp":600},{"name":"TFT5_Aatrox","disname":"U2000073_TFT5_Aatrox_3","type":5,"block":8,"hp":650},{"name":"TFT5_Kalista","disname":"U2000421_TFT5_Kalista_3","type":5,"block":5,"hp":500},{"name":"TFT5_Kled","disname":"U2000247_TFT5_Kled_3","type":5,"block":2,"hp":400},{"name":"TFT5_Gragas","disname":"U2000305_TFT5_Gragas_3","type":5,"block":1,"hp":750},{"name":"TFT5_Poppy","disname":"U2000276_TFT5_Poppy_3","type":5,"block":0,"hp":600},{"name":"TFT5_Vladimir","disname":"U2000189_TFT5_Vladimir_3","type":5,"block":3,"hp":650},{"name":"TFT5_Senna","disname":"U2000363_TFT5_Senna_3","type":5,"block":6,"hp":500}]}</t>
  </si>
  <si>
    <t>{"success":true,"code":200,"msg":"鎴愬姛","data":[{"fit":0,"name":"TFTChampion","disname":"鎹曢鐨勬氮瀛怷","type":3,"block":7,"hp":20},{"fit":0,"name":"TFTChampion","disname":"鐐界儹鍝﹂┈鍝?,"type":3,"block":8,"hp":20},{"fit":0,"name":"TFTChampion","disname":"鎵у康LDC","type":3,"block":2,"hp":20},{"fit":0,"name":"TFTChampion","disname":"鍦ㄤ汉闂村噾鏁扮殑寮熷紵","type":3,"block":1,"hp":20},{"fit":1,"name":"TFTChampion","disname":"鐐繄鐐嚭璐?,"type":3,"block":0,"hp":20},{"fit":0,"name":"TFTChampion","disname":"涓嶆潵鏂瑰鍒?,"type":3,"block":3,"hp":20},{"fit":0,"name":"TFTChampion","disname":"Super涓縍ampage","type":3,"block":6,"hp":20},{"name":"TFT5_Yasuo","disname":"U2000913_TFT5_Yasuo_1","type":5,"block":0,"hp":800},{"name":"TFT5_Lulu","disname":"U2000789_TFT5_Lulu_1","type":5,"block":0,"hp":650},{"name":"TFT5_Nautilus","disname":"U2000639_TFT5_Nautilus_1","type":5,"block":0,"hp":750},{"name":"TFT5_Nautilus","disname":"U2000631_TFT5_Nautilus_1","type":5,"block":8,"hp":750},{"name":"TFT5_Udyr","disname":"U2000183_TFT5_Udyr_1","type":5,"block":1,"hp":700},{"name":"TFT5_Udyr","disname":"U2000182_TFT5_Udyr_1","type":5,"block":1,"hp":700},{"name":"TFT5_Kalista","disname":"U2000446_TFT5_Kalista_1","type":5,"block":6,"hp":500},{"name":"TFT5_Olaf","disname":"U2000413_TFT5_Olaf_1","type":5,"block":1,"hp":650},{"name":"TFT5_Aatrox","disname":"U2000094_TFT5_Aatrox_1","type":5,"block":8,"hp":650},{"name":"TFT5_Gragas","disname":"U2000306_TFT5_Gragas_1","type":5,"block":8,"hp":750},{"name":"TFT5_Vayne","disname":"U2000112_TFT5_Vayne_1","type":5,"block":8,"hp":500},{"name":"TFT5_Olaf","disname":"U2000408_TFT5_Olaf_1","type":5,"block":1,"hp":650},{"name":"TFT5_Ziggs","disname":"U2000358_TFT5_Ziggs_1","type":5,"block":5,"hp":450},{"name":"TFT5_Poppy","disname":"U2000303_TFT5_Poppy_1","type":5,"block":7,"hp":1080},{"name":"TFT5_Vayne","disname":"U2000119_TFT5_Vayne_1","type":5,"block":5,"hp":500},{"name":"TFT5_Vladimir","disname":"U2000206_TFT5_Vladimir_1","type":5,"block":5,"hp":650},{"name":"TFT5_Soraka","disname":"U2000492_TFT5_Soraka_1","type":5,"block":5,"hp":550},{"name":"TFT5_Rakan","disname":"U2000824_TFT5_Rakan_1","type":5,"block":0,"hp":800},{"name":"TFT5_LeeSin","disname":"U2000764_TFT5_LeeSin_1","type":5,"block":7,"hp":800},{"name":"TFT5_Riven","disname":"U2000743_TFT5_Riven_1","type":5,"block":5,"hp":800},{"name":"TFT5_Varus","disname":"U2000458_TFT5_Varus_1","type":5,"block":3,"hp":600},{"name":"TestCubeRender","disname":"TestCube","type":5,"block":3,"hp":100},{"name":"TFT5_MissFortune","disname":"U2000935_TFT5_MissFortune_2","type":5,"block":7,"hp":700},{"name":"TFT5_Aatrox","disname":"U2000073_TFT5_Aatrox_4","type":5,"block":8,"hp":650},{"name":"TFT5_LeeSin","disname":"U2000773_TFT5_LeeSin_2","type":5,"block":8,"hp":800},{"name":"TFT5_Kalista","disname":"U2000421_TFT5_Kalista_4","type":5,"block":5,"hp":500},{"name":"TFT5_Kled","disname":"U2000247_TFT5_Kled_4","type":5,"block":2,"hp":400},{"name":"TFT5_Aatrox","disname":"U2000080_TFT5_Aatrox_2","type":5,"block":1,"hp":650},{"name":"TFT5_Kalista","disname":"U2000444_TFT5_Kalista_2","type":5,"block":1,"hp":500},{"name":"TFT5_Poppy","disname":"U2000276_TFT5_Poppy_4","type":5,"block":0,"hp":600},{"name":"TFT5_Ziggs","disname":"U2000352_TFT5_Ziggs_2","type":5,"block":0,"hp":450},{"name":"TFT5_Vladimir","disname":"U2000189_TFT5_Vladimir_4","type":5,"block":3,"hp":1170},{"name":"TFT5_Gragas","disname":"U2000319_TFT5_Gragas_2","type":5,"block":3,"hp":750},{"name":"TFT5_Vayne","disname":"U2000115_TFT5_Vayne_2","type":5,"block":6,"hp":900},{"name":"TFT5_Senna","disname":"U2000363_TFT5_Senna_4","type":5,"block":6,"hp":500},{"name":"TFT5_Leona","disname":"U2000137_TFT5_Leona_1","type":5,"block":3,"hp":700},{"name":"TFT5_Vayne","disname":"U2000126_TFT5_Vayne_1","type":5,"block":6,"hp":500},{"name":"TFT5_Ashe","disname":"U2000843_TFT5_Ashe_1","type":5,"block":1,"hp":600},{"name":"TFT5_Ziggs","disname":"U2000345_TFT5_Ziggs_1","type":5,"block":3,"hp":450},{"name":"TFT5_Kalista","disname":"U2000436_TFT5_Kalista_1","type":5,"block":0,"hp":900},{"name":"TestCubeRender","disname":"TestCube","type":5,"block":2,"hp":100},{"name":"TestCubeRender","disname":"TestCube","type":5,"block":2,"hp":100},{"name":"TFT5_Ziggs","disname":"U2000337_TFT5_Ziggs_1","type":5,"block":3,"hp":450},{"name":"TFT5_Kalista","disname":"U2000431_TFT5_Kalista_1","type":5,"block":0,"hp":500},{"name":"TFT5_Rakan","disname":"U2000826_TFT5_Rakan_1","type":5,"block":2,"hp":800},{"name":"TestCubeRender","disname":"TestCube","type":5,"block":1,"hp":100},{"name":"TestCubeRender","disname":"TestCube","type":5,"block":1,"hp":100},{"name":"TestCubeRender","disname":"TestCube","type":5,"block":1,"hp":100},{"name":"TFT5_Kalista","disname":"U2000441_TFT5_Kalista_1","type":5,"block":0,"hp":500},{"name":"TFT5_Nautilus","disname":"U2000638_TFT5_Nautilus_1","type":5,"block":7,"hp":750},{"name":"TFT5_Khazix","disname":"U2000222_TFT5_Khazix_1","type":5,"block":3,"hp":500}]}</t>
  </si>
  <si>
    <t>{"success":true,"code":200,"msg":"鎴愬姛","data":[{"fit":0,"name":"TFTChampion","disname":"涓块涓堕洦","type":3,"block":7,"hp":20},{"fit":0,"name":"TFTChampion","disname":"Apollo鏅村ぉ","type":3,"block":5,"hp":20},{"fit":0,"name":"TFTChampion","disname":"鏈ㄤ辅鏄?,"type":3,"block":2,"hp":20},{"fit":0,"name":"TFTChampion","disname":"浼ゆ娌?,"type":3,"block":1,"hp":20},{"fit":0,"name":"TFTChampion","disname":"ariatvxq","type":3,"block":0,"hp":20},{"fit":0,"name":"TFTChampion","disname":"閮櫠鏅?,"type":3,"block":3,"hp":20},{"fit":0,"name":"TFTChampion","disname":"鐑﹀憿涓舵檽寰椾笉","type":3,"block":6,"hp":20},{"name":"TFT5_Varus","disname":"U2000465_TFT5_Varus_1","type":5,"block":3,"hp":600},{"name":"TFT5_Zyra","disname":"U2000849_TFT5_Zyra_1","type":5,"block":0,"hp":600},{"name":"TFT5_Tristana","disname":"U2000729_TFT5_Tristana_1","type":5,"block":0,"hp":550},{"name":"TFT5_Yasuo","disname":"U2000906_TFT5_Yasuo_1","type":5,"block":3,"hp":800},{"name":"TFT5_Udyr","disname":"U2000160_TFT5_Udyr_3","type":5,"block":7,"hp":700},{"name":"TFT5_Ziggs","disname":"U2000334_TFT5_Ziggs_3","type":5,"block":8,"hp":450},{"name":"TFT5_Khazix","disname":"U2000218_TFT5_Khazix_3","type":5,"block":5,"hp":500},{"name":"TFT5_Senna","disname":"U2000363_TFT5_Senna_3","type":5,"block":2,"hp":650},{"name":"TFT5_Gragas","disname":"U2000305_TFT5_Gragas_3","type":5,"block":1,"hp":750},{"name":"TFT5_Kled","disname":"U2000247_TFT5_Kled_3","type":5,"block":0,"hp":400},{"name":"TFT5_Aatrox","disname":"U2000073_TFT5_Aatrox_3","type":5,"block":3,"hp":650},{"name":"TFT5_Olaf","disname":"U2000392_TFT5_Olaf_3","type":5,"block":6,"hp":650}]}</t>
  </si>
  <si>
    <t>{"success":true,"code":200,"msg":"鎴愬姛","data":[{"fit":0,"name":"TFTChampion","disname":"涓块涓堕洦","type":3,"block":7,"hp":20},{"fit":0,"name":"TFTChampion","disname":"Apollo鏅村ぉ","type":3,"block":5,"hp":20},{"fit":0,"name":"TFTChampion","disname":"鏈ㄤ辅鏄?,"type":3,"block":2,"hp":20},{"fit":0,"name":"TFTChampion","disname":"浼ゆ娌?,"type":3,"block":1,"hp":20},{"fit":1,"name":"TFTChampion","disname":"ariatvxq","type":3,"block":0,"hp":20},{"fit":0,"name":"TFTChampion","disname":"閮櫠鏅?,"type":3,"block":3,"hp":20},{"fit":0,"name":"TFTChampion","disname":"鐑﹀憿涓舵檽寰椾笉","type":3,"block":6,"hp":20},{"name":"TFT5_Varus","disname":"U2000465_TFT5_Varus_1","type":5,"block":3,"hp":600},{"name":"TFT5_Zyra","disname":"U2000849_TFT5_Zyra_1","type":5,"block":0,"hp":600},{"name":"TFT5_Kled","disname":"U2000247_TFT5_Kled_3","type":5,"block":0,"hp":400},{"name":"TFT5_Khazix","disname":"U2000240_TFT5_Khazix_1","type":5,"block":1,"hp":500},{"name":"TFT5_Poppy","disname":"U2000284_TFT5_Poppy_1","type":5,"block":7,"hp":600},{"name":"TFT5_Vladimir","disname":"U2000205_TFT5_Vladimir_1","type":5,"block":7,"hp":650},{"name":"TFT5_Aatrox","disname":"U2000076_TFT5_Aatrox_1","type":5,"block":5,"hp":650},{"name":"TFT5_Aatrox","disname":"U2000074_TFT5_Aatrox_1","type":5,"block":7,"hp":650},{"name":"TFT5_Olaf","disname":"U2000396_TFT5_Olaf_1","type":5,"block":7,"hp":650},{"name":"TFT5_Khazix","disname":"U2000230_TFT5_Khazix_1","type":5,"block":7,"hp":500},{"name":"TFT5_Udyr","disname":"U2000185_TFT5_Udyr_1","type":5,"block":3,"hp":700},{"name":"TFT5_Thresh","disname":"U2000654_TFT5_Thresh_1","type":5,"block":7,"hp":800},{"name":"TFT5_Syndra","disname":"U2000496_TFT5_Syndra_1","type":5,"block":7,"hp":600},{"name":"TFT5_Hecarim","disname":"U2000546_TFT5_Hecarim_1","type":5,"block":7,"hp":750},{"name":"TFT5_Lulu","disname":"U2000791_TFT5_Lulu_1","type":5,"block":5,"hp":650},{"name":"TFT5_Hecarim","disname":"U2000539_TFT5_Hecarim_1","type":5,"block":5,"hp":750},{"name":"TFT5_Nunu","disname":"U2000871_TFT5_Nunu_1","type":5,"block":8,"hp":900},{"name":"TFT5_Varus","disname":"U2000453_TFT5_Varus_1","type":5,"block":8,"hp":600},{"name":"TFT5_Udyr","disname":"U2000160_TFT5_Udyr_4","type":5,"block":7,"hp":700},{"name":"TFT5_Kled","disname":"U2000261_TFT5_Kled_2","type":5,"block":7,"hp":720},{"name":"TFT5_Kled","disname":"U2000259_TFT5_Kled_2","type":5,"block":8,"hp":400},{"name":"TFT5_Ziggs","disname":"U2000334_TFT5_Ziggs_4","type":5,"block":8,"hp":450},{"name":"TFT5_Khazix","disname":"U2000218_TFT5_Khazix_4","type":5,"block":5,"hp":500},{"name":"TFT5_Kalista","disname":"U2000447_TFT5_Kalista_2","type":5,"block":5,"hp":500},{"name":"TFT5_Ziggs","disname":"U2000342_TFT5_Ziggs_2","type":5,"block":2,"hp":810},{"name":"TFT5_Senna","disname":"U2000363_TFT5_Senna_4","type":5,"block":2,"hp":650},{"name":"TFT5_Khazix","disname":"U2000228_TFT5_Khazix_2","type":5,"block":1,"hp":500},{"name":"TFT5_Gragas","disname":"U2000305_TFT5_Gragas_4","type":5,"block":1,"hp":750},{"name":"TFT5_Leona","disname":"U2000159_TFT5_Leona_2","type":5,"block":0,"hp":1260},{"name":"TFT5_Poppy","disname":"U2000278_TFT5_Poppy_2","type":5,"block":0,"hp":600},{"name":"TFT5_Aatrox","disname":"U2000073_TFT5_Aatrox_4","type":5,"block":3,"hp":650},{"name":"TFT5_Yasuo","disname":"U2000906_TFT5_Yasuo_2","type":5,"block":3,"hp":800},{"name":"TFT5_Udyr","disname":"U2000161_TFT5_Udyr_2","type":5,"block":6,"hp":700},{"name":"TFT5_Olaf","disname":"U2000392_TFT5_Olaf_4","type":5,"block":6,"hp":650},{"name":"TFT5_Ashe","disname":"U2000841_TFT5_Ashe_1","type":5,"block":6,"hp":600},{"name":"TFT5_Nunu","disname":"U2000876_TFT5_Nunu_1","type":5,"block":6,"hp":900},{"name":"TFT5_Nidalee","disname":"U2000898_TFT5_Nidalee_1","type":5,"block":6,"hp":800},{"name":"TFT5_Ziggs","disname":"U2000339_TFT5_Ziggs_1","type":5,"block":2,"hp":450},{"name":"TFT5_Brand","disname":"U2000517_TFT5_Brand_1","type":5,"block":0,"hp":600},{"name":"TFT5_Ziggs","disname":"U2000352_TFT5_Ziggs_1","type":5,"block":2,"hp":450},{"name":"TestCubeRender","disname":"TestCube","type":5,"block":7,"hp":100},{"name":"TFT5_Poppy","disname":"U2000299_TFT5_Poppy_1","type":5,"block":7,"hp":600},{"name":"TFT5_Khazix","disname":"U2000226_TFT5_Khazix_1","type":5,"block":1,"hp":500}]}</t>
  </si>
  <si>
    <t>{"success":true,"code":200,"msg":"鎴愬姛","data":[{"fit":0,"name":"TFTChampion","disname":"涓块涓堕洦","type":3,"block":7,"hp":20},{"fit":0,"name":"TFTChampion","disname":"Apollo鏅村ぉ","type":3,"block":5,"hp":20},{"fit":0,"name":"TFTChampion","disname":"鏈ㄤ辅鏄?,"type":3,"block":2,"hp":20},{"fit":0,"name":"TFTChampion","disname":"浼ゆ娌?,"type":3,"block":1,"hp":20},{"fit":1,"name":"TFTChampion","disname":"ariatvxq","type":3,"block":0,"hp":20},{"fit":0,"name":"TFTChampion","disname":"閮櫠鏅?,"type":3,"block":3,"hp":20},{"fit":0,"name":"TFTChampion","disname":"鐑﹀憿涓舵檽寰椾笉","type":3,"block":6,"hp":20},{"name":"TFT5_Varus","disname":"U2000465_TFT5_Varus_1","type":5,"block":3,"hp":600},{"name":"TFT5_Zyra","disname":"U2000849_TFT5_Zyra_1","type":5,"block":0,"hp":600},{"name":"TFT5_Kled","disname":"U2000247_TFT5_Kled_3","type":5,"block":0,"hp":400},{"name":"TFT5_Poppy","disname":"U2000284_TFT5_Poppy_1","type":5,"block":7,"hp":600},{"name":"TFT5_Aatrox","disname":"U2000076_TFT5_Aatrox_1","type":5,"block":5,"hp":650},{"name":"TFT5_Udyr","disname":"U2000185_TFT5_Udyr_1","type":5,"block":3,"hp":700},{"name":"TFT5_Thresh","disname":"U2000654_TFT5_Thresh_1","type":5,"block":7,"hp":800},{"name":"TFT5_Lulu","disname":"U2000791_TFT5_Lulu_1","type":5,"block":5,"hp":650},{"name":"TFT5_Hecarim","disname":"U2000539_TFT5_Hecarim_1","type":5,"block":5,"hp":750},{"name":"TFT5_Nunu","disname":"U2000871_TFT5_Nunu_1","type":5,"block":8,"hp":900},{"name":"TFT5_Varus","disname":"U2000453_TFT5_Varus_1","type":5,"block":8,"hp":600},{"name":"TFT5_Kled","disname":"U2000261_TFT5_Kled_2","type":5,"block":7,"hp":720},{"name":"TFT5_Kled","disname":"U2000259_TFT5_Kled_2","type":5,"block":8,"hp":400},{"name":"TFT5_Ziggs","disname":"U2000334_TFT5_Ziggs_4","type":5,"block":8,"hp":450},{"name":"TFT5_Khazix","disname":"U2000218_TFT5_Khazix_4","type":5,"block":5,"hp":500},{"name":"TFT5_Kalista","disname":"U2000447_TFT5_Kalista_2","type":5,"block":5,"hp":500},{"name":"TFT5_Ziggs","disname":"U2000342_TFT5_Ziggs_2","type":5,"block":2,"hp":810},{"name":"TFT5_Senna","disname":"U2000363_TFT5_Senna_4","type":5,"block":2,"hp":650},{"name":"TFT5_Khazix","disname":"U2000228_TFT5_Khazix_2","type":5,"block":1,"hp":900},{"name":"TFT5_Gragas","disname":"U2000305_TFT5_Gragas_4","type":5,"block":1,"hp":750},{"name":"TFT5_Leona","disname":"U2000159_TFT5_Leona_2","type":5,"block":0,"hp":1260},{"name":"TFT5_Poppy","disname":"U2000278_TFT5_Poppy_2","type":5,"block":0,"hp":600},{"name":"TFT5_Aatrox","disname":"U2000073_TFT5_Aatrox_4","type":5,"block":3,"hp":650},{"name":"TFT5_Yasuo","disname":"U2000906_TFT5_Yasuo_2","type":5,"block":3,"hp":800},{"name":"TFT5_Udyr","disname":"U2000161_TFT5_Udyr_2","type":5,"block":6,"hp":700},{"name":"TFT5_Olaf","disname":"U2000392_TFT5_Olaf_4","type":5,"block":6,"hp":650},{"name":"TFT5_Ashe","disname":"U2000841_TFT5_Ashe_1","type":5,"block":6,"hp":600},{"name":"TFT5_Nunu","disname":"U2000876_TFT5_Nunu_1","type":5,"block":6,"hp":900},{"name":"TFT5_Nidalee","disname":"U2000898_TFT5_Nidalee_1","type":5,"block":6,"hp":800},{"name":"TFT5_Brand","disname":"U2000517_TFT5_Brand_1","type":5,"block":0,"hp":600},{"name":"TFT5_Poppy","disname":"U2000299_TFT5_Poppy_1","type":5,"block":7,"hp":600},{"name":"TFT5_Olaf","disname":"U2000405_TFT5_Olaf_1","type":5,"block":6,"hp":650},{"name":"TFT5_Poppy","disname":"U2000280_TFT5_Poppy_1","type":5,"block":2,"hp":600},{"name":"TFT5_Irelia","disname":"U2000710_TFT5_Irelia_1","type":5,"block":1,"hp":750},{"name":"TFT5_Tristana","disname":"U2000725_TFT5_Tristana_1","type":5,"block":7,"hp":550},{"name":"TFT5_Irelia","disname":"U2000700_TFT5_Irelia_1","type":5,"block":1,"hp":750},{"name":"TFT5_Kennen","disname":"U2000619_TFT5_Kennen_1","type":5,"block":6,"hp":600},{"name":"TFT5_Thresh","disname":"U2000667_TFT5_Thresh_1","type":5,"block":1,"hp":800},{"name":"TFT5_Pyke","disname":"U2000575_TFT5_Pyke_1","type":5,"block":1,"hp":650},{"name":"TFT5_Kennen","disname":"U2000605_TFT5_Kennen_1","type":5,"block":1,"hp":600},{"name":"TFT5_Senna","disname":"U2000376_TFT5_Senna_1","type":5,"block":2,"hp":500},{"name":"TFT5_Nautilus","disname":"U2000628_TFT5_Nautilus_1","type":5,"block":2,"hp":750},{"name":"TFT5_Hecarim","disname":"U2000546_TFT5_Hecarim_2","type":5,"block":2,"hp":750},{"name":"TFT5_Kennen","disname":"U2000626_TFT5_Kennen_1","type":5,"block":2,"hp":600}]}</t>
  </si>
  <si>
    <t>{"success":true,"code":200,"msg":"鎴愬姛","data":[{"fit":0,"name":"TFTChampion","disname":"闈炵帺瀹舵帶鍒惰鑹?,"type":3,"block":7,"hp":18},{"fit":0,"name":"TFTChampion","disname":"浠叉槬浜屽崄","type":3,"block":8,"hp":20},{"fit":0,"name":"TFTChampion","disname":"涓囪浇鎵涙妸瀛?,"type":3,"block":5,"hp":20},{"fit":0,"name":"TFTChampion","disname":"閫嗛娓稿巻","type":3,"block":2,"hp":20},{"fit":0,"name":"TFTChampion","disname":"Lxmarrow","type":3,"block":1,"hp":18},{"fit":0,"name":"TFTChampion","disname":"Rose涓挎儨缂樿僵","type":3,"block":3,"hp":18},{"fit":0,"name":"TFTChampion","disname":"spedDF","type":3,"block":6,"hp":20},{"name":"TFT5_Lux","disname":"U2000804_TFT5_Lux_1","type":5,"block":2,"hp":600},{"name":"TFT5_Lulu","disname":"U2000776_TFT5_Lulu_1","type":5,"block":8,"hp":650},{"name":"TFT5_Senna","disname":"U2000377_TFT5_Senna_1","type":5,"block":2,"hp":500},{"name":"TFT5_Senna","disname":"U2000370_TFT5_Senna_1","type":5,"block":2,"hp":500},{"name":"TFT5_Gragas","disname":"U2000309_TFT5_Gragas_1","type":5,"block":2,"hp":750},{"name":"TFT5_Ziggs","disname":"U2000360_TFT5_Ziggs_1","type":5,"block":2,"hp":450},{"name":"TFT5_Vladimir","disname":"U2000208_TFT5_Vladimir_1","type":5,"block":2,"hp":650},{"name":"TFT5_Gragas","disname":"U2000319_TFT5_Gragas_1","type":5,"block":8,"hp":750},{"name":"TFT5_Poppy","disname":"U2000295_TFT5_Poppy_1","type":5,"block":1,"hp":600},{"name":"TFT5_Senna","disname":"U2000385_TFT5_Senna_1","type":5,"block":8,"hp":500},{"name":"TFT5_Olaf","disname":"U2000410_TFT5_Olaf_1","type":5,"block":8,"hp":650},{"name":"TFT5_Senna","disname":"U2000381_TFT5_Senna_1","type":5,"block":8,"hp":500},{"name":"TFT5_Vayne","disname":"U2000129_TFT5_Vayne_1","type":5,"block":6,"hp":500},{"name":"TFT5_Ashe","disname":"U2000845_TFT5_Ashe_1","type":5,"block":1,"hp":600},{"name":"TFT5_Tristana","disname":"U2000722_TFT5_Tristana_1","type":5,"block":1,"hp":550},{"name":"TFT5_Thresh","disname":"U2000650_TFT5_Thresh_2","type":5,"block":7,"hp":800},{"name":"TFT5_Kalista","disname":"U2000430_TFT5_Kalista_1","type":5,"block":8,"hp":500},{"name":"TFT5_Senna","disname":"U2000376_TFT5_Senna_1","type":5,"block":1,"hp":500},{"name":"TFT5_Senna","disname":"U2000380_TFT5_Senna_1","type":5,"block":1,"hp":500},{"name":"TFT5_Udyr","disname":"U2000163_TFT5_Udyr_1","type":5,"block":1,"hp":700},{"name":"TFT5_Udyr","disname":"U2000182_TFT5_Udyr_1","type":5,"block":1,"hp":700},{"name":"TFT5_Ziggs","disname":"U2000361_TFT5_Ziggs_1","type":5,"block":2,"hp":450},{"name":"TFT5_Vladimir","disname":"U2000201_TFT5_Vladimir_1","type":5,"block":2,"hp":650},{"name":"TFT5_Gragas","disname":"U2000327_TFT5_Gragas_1","type":5,"block":2,"hp":750},{"name":"TFT5_Kled","disname":"U2000251_TFT5_Kled_1","type":5,"block":0,"hp":400},{"name":"TFT5_Khazix","disname":"U2000226_TFT5_Khazix_1","type":5,"block":0,"hp":500},{"name":"TFT5_Khazix","disname":"U2000221_TFT5_Khazix_1","type":5,"block":0,"hp":500},{"name":"TFT5_Sejuani","disname":"U2000602_TFT5_Sejuani_1","type":5,"block":8,"hp":750},{"name":"TFT5_Udyr","disname":"U2000168_TFT5_Udyr_1","type":5,"block":0,"hp":700},{"name":"TFT5_Vladimir","disname":"U2000199_TFT5_Vladimir_1","type":5,"block":0,"hp":650},{"name":"TFT5_Kalista","disname":"U2000443_TFT5_Kalista_4","type":5,"block":7,"hp":500},{"name":"TFT5_Irelia","disname":"U2000707_TFT5_Irelia_3","type":5,"block":7,"hp":750},{"name":"TFT5_Yasuo","disname":"U2000909_TFT5_Yasuo_3","type":5,"block":7,"hp":800},{"name":"TFT5_Senna","disname":"U2000372_TFT5_Senna_3","type":5,"block":8,"hp":900},{"name":"TFT5_Kalista","disname":"U2000421_TFT5_Kalista_5","type":5,"block":8,"hp":500},{"name":"TFT5_Nautilus","disname":"U2000632_TFT5_Nautilus_2","type":5,"block":8,"hp":750},{"name":"TFT5_Khazix","disname":"U2000218_TFT5_Khazix_5","type":5,"block":5,"hp":500},{"name":"TFT5_Riven","disname":"U2000755_TFT5_Riven_3","type":5,"block":5,"hp":800},{"name":"TFT5_MissFortune","disname":"U2000919_TFT5_MissFortune_2","type":5,"block":5,"hp":700},{"name":"TFT5_Poppy","disname":"U2000276_TFT5_Poppy_6","type":5,"block":2,"hp":600},{"name":"TFT5_Sejuani","disname":"U2000591_TFT5_Sejuani_3","type":5,"block":2,"hp":750},{"name":"TFT5_Nautilus","disname":"U2000629_TFT5_Nautilus_4","type":5,"block":2,"hp":750},{"name":"TFT5_Aatrox","disname":"U2000089_TFT5_Aatrox_3","type":5,"block":1,"hp":650},{"name":"TFT5_Vladimir","disname":"U2000197_TFT5_Vladimir_2","type":5,"block":1,"hp":650},{"name":"TFT5_Kled","disname":"U2000247_TFT5_Kled_5","type":5,"block":1,"hp":400},{"name":"TFT5_Ziggs","disname":"U2000334_TFT5_Ziggs_6","type":5,"block":0,"hp":600},{"name":"TFT5_Brand","disname":"U2000529_TFT5_Brand_3","type":5,"block":0,"hp":600},{"name":"TFT5_Riven","disname":"U2000754_TFT5_Riven_4","type":5,"block":0,"hp":800},{"name":"TFT5_Olaf","disname":"U2000392_TFT5_Olaf_5","type":5,"block":3,"hp":650},{"name":"TFT5_Vladimir","disname":"U2000193_TFT5_Vladimir_3","type":5,"block":6,"hp":650},{"name":"TFT5_Varus","disname":"U2000462_TFT5_Varus_3","type":5,"block":6,"hp":600},{"name":"TFT5_Sejuani","disname":"U2000599_TFT5_Sejuani_3","type":5,"block":6,"hp":750},{"name":"TFT5_Vayne","disname":"U2000128_TFT5_Vayne_1","type":5,"block":6,"hp":500},{"name":"TFT5_Leona","disname":"U2000150_TFT5_Leona_1","type":5,"block":7,"hp":700}]}</t>
  </si>
  <si>
    <t>{"success":true,"code":200,"msg":"鎴愬姛","data":[{"fit":0,"name":"TFTChampion","disname":"鍋氭垜鎬€閲岀殑鐚伂","type":3,"block":7,"hp":20},{"fit":0,"name":"TFTChampion","disname":"o灏戜緺璇烽噸鏂版潵杩噊","type":3,"block":8,"hp":20},{"fit":0,"name":"TFTChampion","disname":"瀹呯墽甯堝紑榛?,"type":3,"block":5,"hp":20},{"fit":0,"name":"TFTChampion","disname":"鎵撴璧靛浼?,"type":3,"block":2,"hp":20},{"fit":0,"name":"TFTChampion","disname":"鎶借摑鐧芥矙","type":3,"block":1,"hp":20},{"fit":0,"name":"TFTChampion","disname":"瀛欎簯榫檔b","type":3,"block":0,"hp":20},{"fit":0,"name":"TFTChampion","disname":"鐜栦嚎灏戠敺鐨勫皬浠欏コ","type":3,"block":3,"hp":20},{"name":"TFT5_Nautilus","disname":"U2000642_TFT5_Nautilus_1","type":5,"block":5,"hp":750},{"name":"TFT5_Nocturne","disname":"U2000944_TFT5_Nocturne_1","type":5,"block":0,"hp":650},{"name":"TFT5_Aatrox","disname":"U2000096_TFT5_Aatrox_1","type":5,"block":3,"hp":650},{"name":"TFT5_Vayne","disname":"U2000111_TFT5_Vayne_1","type":5,"block":0,"hp":500},{"name":"TFT5_Khazix","disname":"U2000225_TFT5_Khazix_1","type":5,"block":0,"hp":500},{"name":"TFT5_Sett","disname":"U2000673_TFT5_Sett_1","type":5,"block":8,"hp":800},{"name":"TFT5_Nautilus","disname":"U2000639_TFT5_Nautilus_1","type":5,"block":8,"hp":750},{"name":"TFT5_Udyr","disname":"U2000180_TFT5_Udyr_1","type":5,"block":3,"hp":700},{"name":"TFT5_Gragas","disname":"U2000330_TFT5_Gragas_1","type":5,"block":3,"hp":750},{"name":"TFT5_Gragas","disname":"U2000331_TFT5_Gragas_1","type":5,"block":3,"hp":750},{"name":"TFT5_Poppy","disname":"U2000286_TFT5_Poppy_1","type":5,"block":5,"hp":600},{"name":"TFT5_Nunu","disname":"U2000866_TFT5_Nunu_1","type":5,"block":7,"hp":900},{"name":"TFT5_Kennen","disname":"U2000623_TFT5_Kennen_1","type":5,"block":7,"hp":600},{"name":"TFT5_Olaf","disname":"U2000414_TFT5_Olaf_1","type":5,"block":7,"hp":650},{"name":"TFT5_Aatrox","disname":"U2000075_TFT5_Aatrox_1","type":5,"block":7,"hp":650},{"name":"TFT5_Hecarim","disname":"U2000560_TFT5_Hecarim_1","type":5,"block":3,"hp":750},{"name":"TFT5_Tristana","disname":"U2000732_TFT5_Tristana_1","type":5,"block":3,"hp":550},{"name":"TFT5_Syndra","disname":"U2000505_TFT5_Syndra_1","type":5,"block":3,"hp":600},{"name":"TFT5_Rakan","disname":"U2000824_TFT5_Rakan_1","type":5,"block":2,"hp":800},{"name":"TFT5_Kennen","disname":"U2000615_TFT5_Kennen_1","type":5,"block":2,"hp":600},{"name":"TFT5_Hecarim","disname":"U2000543_TFT5_Hecarim_1","type":5,"block":2,"hp":750},{"name":"TFT5_Sejuani","disname":"U2000591_TFT5_Sejuani_1","type":5,"block":2,"hp":750},{"name":"TFT5_Khazix","disname":"U2000234_TFT5_Khazix_1","type":5,"block":2,"hp":500},{"name":"TFT5_Khazix","disname":"U2000241_TFT5_Khazix_2","type":5,"block":7,"hp":500},{"name":"TFT5_Gragas","disname":"U2000305_TFT5_Gragas_4","type":5,"block":7,"hp":750},{"name":"TFT5_Vladimir","disname":"U2000189_TFT5_Vladimir_4","type":5,"block":8,"hp":650},{"name":"TFT5_Irelia","disname":"U2000710_TFT5_Irelia_2","type":5,"block":8,"hp":750},{"name":"TFT5_Senna","disname":"U2000363_TFT5_Senna_4","type":5,"block":5,"hp":500},{"name":"TFT5_Olaf","disname":"U2000396_TFT5_Olaf_2","type":5,"block":5,"hp":650},{"name":"TFT5_Kled","disname":"U2000247_TFT5_Kled_4","type":5,"block":2,"hp":720},{"name":"TFT5_Aatrox","disname":"U2000073_TFT5_Aatrox_4","type":5,"block":1,"hp":650},{"name":"TFT5_Udyr","disname":"U2000181_TFT5_Udyr_2","type":5,"block":1,"hp":700},{"name":"TFT5_Vayne","disname":"U2000102_TFT5_Vayne_4","type":5,"block":0,"hp":500},{"name":"TFT5_Thresh","disname":"U2000651_TFT5_Thresh_2","type":5,"block":0,"hp":800},{"name":"TFT5_Aatrox","disname":"U2000095_TFT5_Aatrox_2","type":5,"block":3,"hp":650},{"name":"TFT5_Udyr","disname":"U2000160_TFT5_Udyr_4","type":5,"block":3,"hp":850},{"name":"TFT5_Kalista","disname":"U2000421_TFT5_Kalista_4","type":5,"block":6,"hp":500},{"name":"TFT5_Lulu","disname":"U2000791_TFT5_Lulu_2","type":5,"block":6,"hp":650},{"name":"TestCubeRender","disname":"TestCube","type":5,"block":2,"hp":100},{"name":"TFT5_Pyke","disname":"U2000565_TFT5_Pyke_1","type":5,"block":1,"hp":650},{"name":"TFT5_Brand","disname":"U2000521_TFT5_Brand_1","type":5,"block":1,"hp":600},{"name":"TFT5_Pyke","disname":"U2000575_TFT5_Pyke_1","type":5,"block":1,"hp":650},{"name":"TFT5_Brand","disname":"U2000532_TFT5_Brand_1","type":5,"block":0,"hp":600}]}</t>
  </si>
  <si>
    <t>{"success":true,"code":200,"msg":"鎴愬姛","data":[{"fit":1,"name":"TFTChampion","disname":"鍋氭垜鎬€閲岀殑鐚伂","type":3,"block":7,"hp":20},{"fit":1,"name":"TFTChampion","disname":"o灏戜緺璇烽噸鏂版潵杩噊","type":3,"block":8,"hp":20},{"fit":0,"name":"TFTChampion","disname":"瀹呯墽甯堝紑榛?,"type":3,"block":5,"hp":16},{"fit":0,"name":"TFTChampion","disname":"鎵撴璧靛浼?,"type":3,"block":2,"hp":18},{"fit":0,"name":"TFTChampion","disname":"鎶借摑鐧芥矙","type":3,"block":1,"hp":16},{"fit":0,"name":"TFTChampion","disname":"瀛欎簯榫檔b","type":3,"block":0,"hp":18},{"fit":0,"name":"TFTChampion","disname":"鐜栦嚎灏戠敺鐨勫皬浠欏コ","type":3,"block":3,"hp":20},{"name":"TFT5_Nautilus","disname":"U2000642_TFT5_Nautilus_1","type":5,"block":5,"hp":750},{"name":"TFT5_Udyr","disname":"U2000180_TFT5_Udyr_1","type":5,"block":3,"hp":700},{"name":"TFT5_Kennen","disname":"U2000623_TFT5_Kennen_1","type":5,"block":7,"hp":600},{"name":"TFT5_Olaf","disname":"U2000414_TFT5_Olaf_1","type":5,"block":7,"hp":650},{"name":"TFT5_Olaf","disname":"U2000396_TFT5_Olaf_2","type":5,"block":5,"hp":650},{"name":"TFT5_Udyr","disname":"U2000181_TFT5_Udyr_2","type":5,"block":1,"hp":700},{"name":"TFT5_Pyke","disname":"U2000565_TFT5_Pyke_1","type":5,"block":1,"hp":650},{"name":"TFT5_Pyke","disname":"U2000575_TFT5_Pyke_1","type":5,"block":1,"hp":650},{"name":"TFT5_Brand","disname":"U2000532_TFT5_Brand_1","type":5,"block":0,"hp":600},{"name":"TFT5_Leona","disname":"U2000139_TFT5_Leona_1","type":5,"block":3,"hp":700},{"name":"TFT5_Udyr","disname":"U2000169_TFT5_Udyr_1","type":5,"block":7,"hp":700},{"name":"TFT5_Olaf","disname":"U2000397_TFT5_Olaf_1","type":5,"block":7,"hp":650},{"name":"TFT5_Gragas","disname":"U2000307_TFT5_Gragas_1","type":5,"block":3,"hp":750},{"name":"TFT5_Kalista","disname":"U2000448_TFT5_Kalista_1","type":5,"block":0,"hp":500},{"name":"TFT5_Udyr","disname":"U2000179_TFT5_Udyr_1","type":5,"block":8,"hp":700},{"name":"TFT5_Khazix","disname":"U2000243_TFT5_Khazix_1","type":5,"block":2,"hp":900},{"name":"TFT5_Irelia","disname":"U2000714_TFT5_Irelia_1","type":5,"block":2,"hp":750},{"name":"TFT5_Ziggs","disname":"U2000361_TFT5_Ziggs_1","type":5,"block":7,"hp":810},{"name":"TFT5_Poppy","disname":"U2000279_TFT5_Poppy_1","type":5,"block":6,"hp":600},{"name":"TFT5_Vladimir","disname":"U2000198_TFT5_Vladimir_1","type":5,"block":6,"hp":650},{"name":"TFT5_Kalista","disname":"U2000427_TFT5_Kalista_1","type":5,"block":6,"hp":500},{"name":"TFT5_Khazix","disname":"U2000220_TFT5_Khazix_2","type":5,"block":7,"hp":500},{"name":"TFT5_Udyr","disname":"U2000160_TFT5_Udyr_5","type":5,"block":3,"hp":850},{"name":"TFT5_Kalista","disname":"U2000421_TFT5_Kalista_6","type":5,"block":6,"hp":500},{"name":"TFT5_Vayne","disname":"U2000113_TFT5_Vayne_1","type":5,"block":0,"hp":500},{"name":"TFT5_Olaf","disname":"U2000420_TFT5_Olaf_1","type":5,"block":5,"hp":650},{"name":"TFT5_Gragas","disname":"U2000313_TFT5_Gragas_1","type":5,"block":7,"hp":750},{"name":"TFT5_Kennen","disname":"U2000610_TFT5_Kennen_1","type":5,"block":5,"hp":600},{"name":"TFT5_Kled","disname":"U2000275_TFT5_Kled_1","type":5,"block":2,"hp":720},{"name":"TFT5_Brand","disname":"U2000529_TFT5_Brand_1","type":5,"block":1,"hp":600},{"name":"TFT5_Brand","disname":"U2000536_TFT5_Brand_1","type":5,"block":0,"hp":600},{"name":"TFT5_Kled","disname":"U2000270_TFT5_Kled_1","type":5,"block":2,"hp":400},{"name":"TFT5_Sejuani","disname":"U2000583_TFT5_Sejuani_1","type":5,"block":6,"hp":750},{"name":"TFT5_Kalista","disname":"U2000440_TFT5_Kalista_1","type":5,"block":1,"hp":500},{"name":"TFT5_Kled","disname":"U2000255_TFT5_Kled_1","type":5,"block":7,"hp":400},{"name":"TFT5_Tristana","disname":"U2000722_TFT5_Tristana_1","type":5,"block":0,"hp":550},{"name":"TFT5_Khazix","disname":"U2000241_TFT5_Khazix_4","type":5,"block":7,"hp":900},{"name":"TFT5_Gragas","disname":"U2000305_TFT5_Gragas_6","type":5,"block":7,"hp":750},{"name":"TFT5_Soraka","disname":"U2000486_TFT5_Soraka_2","type":5,"block":7,"hp":550},{"name":"TFT5_Vladimir","disname":"U2000189_TFT5_Vladimir_7","type":5,"block":8,"hp":1170},{"name":"TFT5_Soraka","disname":"U2000480_TFT5_Soraka_4","type":5,"block":8,"hp":550},{"name":"TFT5_Sett","disname":"U2000673_TFT5_Sett_4","type":5,"block":8,"hp":800},{"name":"TFT5_Poppy","disname":"U2000286_TFT5_Poppy_4","type":5,"block":5,"hp":600},{"name":"TFT5_Senna","disname":"U2000363_TFT5_Senna_7","type":5,"block":5,"hp":500},{"name":"TFT5_Nautilus","disname":"U2000630_TFT5_Nautilus_4","type":5,"block":5,"hp":750},{"name":"TFT5_Kled","disname":"U2000247_TFT5_Kled_8","type":5,"block":2,"hp":720},{"name":"TFT5_Kled","disname":"U2000260_TFT5_Kled_5","type":5,"block":2,"hp":720},{"name":"TFT5_Irelia","disname":"U2000712_TFT5_Irelia_5","type":5,"block":2,"hp":750},{"name":"TFT5_Aatrox","disname":"U2000073_TFT5_Aatrox_7","type":5,"block":1,"hp":650},{"name":"TFT5_Kalista","disname":"U2000434_TFT5_Kalista_2","type":5,"block":1,"hp":500},{"name":"TFT5_Brand","disname":"U2000521_TFT5_Brand_2","type":5,"block":1,"hp":600},{"name":"TFT5_Vayne","disname":"U2000102_TFT5_Vayne_6","type":5,"block":0,"hp":900},{"name":"TFT5_Thresh","disname":"U2000651_TFT5_Thresh_4","type":5,"block":0,"hp":800},{"name":"TFT5_Nocturne","disname":"U2000944_TFT5_Nocturne_3","type":5,"block":0,"hp":650},{"name":"TFT5_Aatrox","disname":"U2000095_TFT5_Aatrox_5","type":5,"block":3,"hp":1170},{"name":"TFT5_Gragas","disname":"U2000330_TFT5_Gragas_4","type":5,"block":3,"hp":1350},{"name":"TFT5_Syndra","disname":"U2000501_TFT5_Syndra_3","type":5,"block":3,"hp":1080},{"name":"TFT5_Leona","disname":"U2000142_TFT5_Leona_5","type":5,"block":6,"hp":700},{"name":"TFT5_Vladimir","disname":"U2000209_TFT5_Vladimir_3","type":5,"block":6,"hp":650},{"name":"TFT5_Lulu","disname":"U2000791_TFT5_Lulu_6","type":5,"block":6,"hp":650},{"name":"TFT5_Tristana","disname":"U2000723_TFT5_Tristana_1","type":5,"block":0,"hp":550},{"name":"TFT5_Sett","disname":"U2000685_TFT5_Sett_1","type":5,"block":3,"hp":800},{"name":"TFT5_Thresh","disname":"U2000656_TFT5_Thresh_1","type":5,"block":0,"hp":800},{"name":"TFT5_Kled","disname":"U2000262_TFT5_Kled_1","type":5,"block":2,"hp":400},{"name":"TFT5_Khazix","disname":"U2000230_TFT5_Khazix_1","type":5,"block":7,"hp":500},{"name":"TFT5_Brand","disname":"U2000533_TFT5_Brand_1","type":5,"block":6,"hp":600},{"name":"TestCubeRender","disname":"TestCube","type":5,"block":6,"hp":100},{"name":"TFT5_Olaf","disname":"U2000401_TFT5_Olaf_1","type":5,"block":5,"hp":650}]}</t>
  </si>
  <si>
    <t>{"success":true,"code":200,"msg":"鎴愬姛","data":[{"fit":0,"name":"TFTChampion","disname":"Lamando涓禫ae","type":3,"block":7,"hp":20},{"fit":0,"name":"TFTChampion","disname":"鍚鐢风閮藉崟韬?,"type":3,"block":8,"hp":20},{"fit":0,"name":"TFTChampion","disname":"娴佷簯鎰忎付蹇嗘偛绉?,"type":3,"block":5,"hp":20},{"fit":0,"name":"TFTChampion","disname":"oath缁寸淮","type":3,"block":2,"hp":20},{"fit":0,"name":"TFTChampion","disname":"greengodbird","type":3,"block":1,"hp":20},{"fit":0,"name":"TFTChampion","disname":"GD涓禟涓ㄥ噷鍝?,"type":3,"block":3,"hp":20},{"fit":0,"name":"TFTChampion","disname":"H涓禪NCLE","type":3,"block":6,"hp":20},{"name":"TFT5_Nocturne","disname":"U2000949_TFT5_Nocturne_1","type":5,"block":0,"hp":650},{"name":"TFT5_Riven","disname":"U2000741_TFT5_Riven_1","type":5,"block":1,"hp":800},{"name":"TFT5_Nidalee","disname":"U2000890_TFT5_Nidalee_1","type":5,"block":1,"hp":800},{"name":"TFT5_Rakan","disname":"U2000812_TFT5_Rakan_1","type":5,"block":8,"hp":800},{"name":"TFT5_Brand","disname":"U2000523_TFT5_Brand_1","type":5,"block":8,"hp":600},{"name":"TFT5_MissFortune","disname":"U2000922_TFT5_MissFortune_1","type":5,"block":6,"hp":700},{"name":"TFT5_Poppy","disname":"U2000276_TFT5_Poppy_3","type":5,"block":7,"hp":750},{"name":"TFT5_Senna","disname":"U2000363_TFT5_Senna_3","type":5,"block":8,"hp":500},{"name":"TFT5_Vayne","disname":"U2000102_TFT5_Vayne_3","type":5,"block":2,"hp":500},{"name":"TFT5_Aatrox","disname":"U2000073_TFT5_Aatrox_3","type":5,"block":1,"hp":650},{"name":"TFT5_Khazix","disname":"U2000218_TFT5_Khazix_3","type":5,"block":0,"hp":500},{"name":"TFT5_Kalista","disname":"U2000421_TFT5_Kalista_3","type":5,"block":3,"hp":500},{"name":"TFT5_Vladimir","disname":"U2000189_TFT5_Vladimir_3","type":5,"block":6,"hp":650}]}</t>
  </si>
  <si>
    <t>{"success":true,"code":200,"msg":"鎴愬姛","data":[{"fit":0,"name":"TFTChampion","disname":"Lamando涓禫ae","type":3,"block":7,"hp":20},{"fit":0,"name":"TFTChampion","disname":"鍚鐢风閮藉崟韬?,"type":3,"block":8,"hp":20},{"fit":0,"name":"TFTChampion","disname":"娴佷簯鎰忎付蹇嗘偛绉?,"type":3,"block":5,"hp":18},{"fit":0,"name":"TFTChampion","disname":"oath缁寸淮","type":3,"block":2,"hp":20},{"fit":0,"name":"TFTChampion","disname":"greengodbird","type":3,"block":1,"hp":20},{"fit":0,"name":"TFTChampion","disname":"GD涓禟涓ㄥ噷鍝?,"type":3,"block":3,"hp":20},{"fit":0,"name":"TFTChampion","disname":"H涓禪NCLE","type":3,"block":6,"hp":20},{"name":"TFT5_Nidalee","disname":"U2000890_TFT5_Nidalee_1","type":5,"block":1,"hp":800},{"name":"TFT5_Vayne","disname":"U2000108_TFT5_Vayne_1","type":5,"block":6,"hp":500},{"name":"TFT5_Senna","disname":"U2000380_TFT5_Senna_1","type":5,"block":2,"hp":500},{"name":"TFT5_Olaf","disname":"U2000404_TFT5_Olaf_1","type":5,"block":2,"hp":650},{"name":"TFT5_Vladimir","disname":"U2000209_TFT5_Vladimir_1","type":5,"block":2,"hp":650},{"name":"TFT5_Udyr","disname":"U2000175_TFT5_Udyr_1","type":5,"block":1,"hp":700},{"name":"TFT5_Vladimir","disname":"U2000199_TFT5_Vladimir_1","type":5,"block":1,"hp":650},{"name":"TFT5_Leona","disname":"U2000135_TFT5_Leona_1","type":5,"block":6,"hp":700},{"name":"TFT5_Olaf","disname":"U2000406_TFT5_Olaf_1","type":5,"block":6,"hp":650},{"name":"TFT5_Gragas","disname":"U2000320_TFT5_Gragas_1","type":5,"block":1,"hp":750},{"name":"TFT5_Rakan","disname":"U2000817_TFT5_Rakan_1","type":5,"block":2,"hp":800},{"name":"TFT5_Senna","disname":"U2000378_TFT5_Senna_1","type":5,"block":7,"hp":500},{"name":"TFT5_Vayne","disname":"U2000109_TFT5_Vayne_1","type":5,"block":1,"hp":500},{"name":"TFT5_Vayne","disname":"U2000129_TFT5_Vayne_1","type":5,"block":1,"hp":500},{"name":"TFT5_Udyr","disname":"U2000176_TFT5_Udyr_1","type":5,"block":8,"hp":700},{"name":"TFT5_Kalista","disname":"U2000434_TFT5_Kalista_1","type":5,"block":1,"hp":500},{"name":"TFT5_Kalista","disname":"U2000447_TFT5_Kalista_1","type":5,"block":8,"hp":900},{"name":"TFT5_Soraka","disname":"U2000493_TFT5_Soraka_1","type":5,"block":1,"hp":550},{"name":"TFT5_Kled","disname":"U2000255_TFT5_Kled_1","type":5,"block":0,"hp":400},{"name":"TFT5_Zyra","disname":"U2000863_TFT5_Zyra_1","type":5,"block":6,"hp":600},{"name":"TFT5_Vladimir","disname":"U2000207_TFT5_Vladimir_1","type":5,"block":0,"hp":650},{"name":"TFT5_Poppy","disname":"U2000276_TFT5_Poppy_4","type":5,"block":7,"hp":1600},{"name":"TFT5_Kalista","disname":"U2000425_TFT5_Kalista_2","type":5,"block":8,"hp":500},{"name":"TFT5_Brand","disname":"U2000523_TFT5_Brand_2","type":5,"block":8,"hp":600},{"name":"TFT5_Aatrox","disname":"U2000073_TFT5_Aatrox_4","type":5,"block":1,"hp":1170},{"name":"TFT5_Riven","disname":"U2000741_TFT5_Riven_2","type":5,"block":1,"hp":800},{"name":"TFT5_Khazix","disname":"U2000218_TFT5_Khazix_4","type":5,"block":0,"hp":500},{"name":"TFT5_Nocturne","disname":"U2000949_TFT5_Nocturne_2","type":5,"block":0,"hp":650},{"name":"TFT5_Poppy","disname":"U2000285_TFT5_Poppy_2","type":5,"block":3,"hp":600},{"name":"TFT5_Vladimir","disname":"U2000189_TFT5_Vladimir_4","type":5,"block":6,"hp":650},{"name":"TFT5_MissFortune","disname":"U2000922_TFT5_MissFortune_2","type":5,"block":6,"hp":700},{"name":"TFT5_Nocturne","disname":"U2000936_TFT5_Nocturne_1","type":5,"block":0,"hp":650},{"name":"TFT5_Udyr","disname":"U2000171_TFT5_Udyr_1","type":5,"block":3,"hp":700},{"name":"TFT5_Olaf","disname":"U2000408_TFT5_Olaf_1","type":5,"block":6,"hp":650},{"name":"TFT5_Irelia","disname":"U2000700_TFT5_Irelia_1","type":5,"block":2,"hp":750},{"name":"TFT5_Thresh","disname":"U2000657_TFT5_Thresh_1","type":5,"block":6,"hp":800},{"name":"TFT5_Irelia","disname":"U2000704_TFT5_Irelia_1","type":5,"block":3,"hp":750},{"name":"TFT5_Nautilus","disname":"U2000633_TFT5_Nautilus_1","type":5,"block":2,"hp":750},{"name":"TFT5_Senna","disname":"U2000365_TFT5_Senna_1","type":5,"block":2,"hp":500},{"name":"TFT5_Olaf","disname":"U2000396_TFT5_Olaf_1","type":5,"block":3,"hp":650},{"name":"TFT5_Kalista","disname":"U2000442_TFT5_Kalista_1","type":5,"block":8,"hp":500},{"name":"TFT5_Olaf","disname":"U2000400_TFT5_Olaf_1","type":5,"block":3,"hp":650},{"name":"TFT5_Udyr","disname":"U2000185_TFT5_Udyr_1","type":5,"block":8,"hp":700},{"name":"TFT5_Tristana","disname":"U2000724_TFT5_Tristana_1","type":5,"block":6,"hp":550}]}</t>
  </si>
  <si>
    <t>{"success":true,"code":200,"msg":"鎴愬姛","data":[{"fit":0,"name":"TFTChampion","disname":"Lamando涓禫ae","type":3,"block":7,"hp":18},{"fit":0,"name":"TFTChampion","disname":"娴佷簯鎰忎付蹇嗘偛绉?,"type":3,"block":5,"hp":16},{"fit":0,"name":"TFTChampion","disname":"oath缁寸淮","type":3,"block":2,"hp":20},{"fit":0,"name":"TFTChampion","disname":"greengodbird","type":3,"block":1,"hp":18},{"fit":0,"name":"TFTChampion","disname":"GD涓禟涓ㄥ噷鍝?,"type":3,"block":3,"hp":20},{"fit":0,"name":"TFTChampion","disname":"H涓禪NCLE","type":3,"block":6,"hp":18},{"name":"TFT5_Vayne","disname":"U2000108_TFT5_Vayne_1","type":5,"block":6,"hp":500},{"name":"TFT5_Senna","disname":"U2000380_TFT5_Senna_1","type":5,"block":2,"hp":500},{"name":"TFT5_Vladimir","disname":"U2000209_TFT5_Vladimir_1","type":5,"block":2,"hp":650},{"name":"TFT5_Udyr","disname":"U2000175_TFT5_Udyr_1","type":5,"block":1,"hp":700},{"name":"TFT5_Leona","disname":"U2000135_TFT5_Leona_1","type":5,"block":6,"hp":700},{"name":"TFT5_Olaf","disname":"U2000406_TFT5_Olaf_1","type":5,"block":6,"hp":650},{"name":"TFT5_Vayne","disname":"U2000109_TFT5_Vayne_1","type":5,"block":1,"hp":500},{"name":"TFT5_Vayne","disname":"U2000129_TFT5_Vayne_1","type":5,"block":1,"hp":500},{"name":"TFT5_Soraka","disname":"U2000493_TFT5_Soraka_1","type":5,"block":1,"hp":550},{"name":"TFT5_Kled","disname":"U2000255_TFT5_Kled_1","type":5,"block":0,"hp":400},{"name":"TFT5_Zyra","disname":"U2000863_TFT5_Zyra_1","type":5,"block":6,"hp":600},{"name":"TFT5_Vladimir","disname":"U2000207_TFT5_Vladimir_1","type":5,"block":0,"hp":650},{"name":"TFT5_Aatrox","disname":"U2000073_TFT5_Aatrox_4","type":5,"block":1,"hp":1170},{"name":"TFT5_Nocturne","disname":"U2000936_TFT5_Nocturne_1","type":5,"block":0,"hp":650},{"name":"TFT5_Olaf","disname":"U2000408_TFT5_Olaf_1","type":5,"block":6,"hp":650},{"name":"TFT5_Nautilus","disname":"U2000633_TFT5_Nautilus_1","type":5,"block":2,"hp":750},{"name":"TFT5_Senna","disname":"U2000365_TFT5_Senna_1","type":5,"block":2,"hp":500},{"name":"TFT5_Kalista","disname":"U2000426_TFT5_Kalista_1","type":5,"block":1,"hp":900},{"name":"TFT5_Udyr","disname":"U2000183_TFT5_Udyr_1","type":5,"block":3,"hp":700},{"name":"TFT5_Olaf","disname":"U2000418_TFT5_Olaf_1","type":5,"block":5,"hp":650},{"name":"TFT5_Olaf","disname":"U2000401_TFT5_Olaf_1","type":5,"block":5,"hp":650},{"name":"TFT5_Vladimir","disname":"U2000205_TFT5_Vladimir_1","type":5,"block":0,"hp":650},{"name":"TFT5_Ashe","disname":"U2000832_TFT5_Ashe_1","type":5,"block":7,"hp":600},{"name":"TFT5_Tristana","disname":"U2000727_TFT5_Tristana_1","type":5,"block":7,"hp":550},{"name":"TFT5_Senna","disname":"U2000385_TFT5_Senna_1","type":5,"block":0,"hp":500},{"name":"TFT5_Senna","disname":"U2000368_TFT5_Senna_1","type":5,"block":0,"hp":500},{"name":"TFT5_Poppy","disname":"U2000276_TFT5_Poppy_5","type":5,"block":7,"hp":1600},{"name":"TFT5_Senna","disname":"U2000378_TFT5_Senna_2","type":5,"block":7,"hp":500},{"name":"TFT5_Udyr","disname":"U2000185_TFT5_Udyr_3","type":5,"block":8,"hp":1260},{"name":"TFT5_Kalista","disname":"U2000447_TFT5_Kalista_3","type":5,"block":8,"hp":900},{"name":"TFT5_Brand","disname":"U2000523_TFT5_Brand_4","type":5,"block":8,"hp":600},{"name":"TFT5_Olaf","disname":"U2000404_TFT5_Olaf_3","type":5,"block":2,"hp":650},{"name":"TFT5_Irelia","disname":"U2000700_TFT5_Irelia_3","type":5,"block":2,"hp":750},{"name":"TFT5_Rakan","disname":"U2000817_TFT5_Rakan_3","type":5,"block":2,"hp":800},{"name":"TFT5_Gragas","disname":"U2000320_TFT5_Gragas_3","type":5,"block":1,"hp":750},{"name":"TFT5_Riven","disname":"U2000741_TFT5_Riven_4","type":5,"block":1,"hp":800},{"name":"TFT5_Nidalee","disname":"U2000890_TFT5_Nidalee_3","type":5,"block":1,"hp":800},{"name":"TFT5_Khazix","disname":"U2000218_TFT5_Khazix_6","type":5,"block":0,"hp":500},{"name":"TFT5_Gragas","disname":"U2000328_TFT5_Gragas_3","type":5,"block":0,"hp":750},{"name":"TFT5_Nocturne","disname":"U2000949_TFT5_Nocturne_4","type":5,"block":0,"hp":650},{"name":"TFT5_Udyr","disname":"U2000171_TFT5_Udyr_2","type":5,"block":3,"hp":1260},{"name":"TFT5_Olaf","disname":"U2000400_TFT5_Olaf_2","type":5,"block":3,"hp":1170},{"name":"TFT5_Irelia","disname":"U2000704_TFT5_Irelia_2","type":5,"block":3,"hp":750},{"name":"TFT5_Thresh","disname":"U2000657_TFT5_Thresh_2","type":5,"block":6,"hp":800},{"name":"TFT5_Tristana","disname":"U2000724_TFT5_Tristana_2","type":5,"block":6,"hp":550},{"name":"TFT5_MissFortune","disname":"U2000922_TFT5_MissFortune_3","type":5,"block":6,"hp":700},{"name":"TFT5_Kalista","disname":"U2000435_TFT5_Kalista_1","type":5,"block":8,"hp":900},{"name":"TFT5_Olaf","disname":"U2000420_TFT5_Olaf_1","type":5,"block":3,"hp":650},{"name":"TFT5_Kalista","disname":"U2000437_TFT5_Kalista_1","type":5,"block":1,"hp":500},{"name":"TFT5_Udyr","disname":"U2000174_TFT5_Udyr_1","type":5,"block":3,"hp":700}]}</t>
  </si>
  <si>
    <t>{"success":true,"code":200,"msg":"鎴愬姛","data":[{"fit":0,"name":"TFTChampion","disname":"Lamando涓禫ae","type":3,"block":7,"hp":18},{"fit":0,"name":"TFTChampion","disname":"娴佷簯鎰忎付蹇嗘偛绉?,"type":3,"block":5,"hp":16},{"fit":0,"name":"TFTChampion","disname":"oath缁寸淮","type":3,"block":2,"hp":20},{"fit":0,"name":"TFTChampion","disname":"greengodbird","type":3,"block":1,"hp":18},{"fit":0,"name":"TFTChampion","disname":"GD涓禟涓ㄥ噷鍝?,"type":3,"block":3,"hp":20},{"fit":0,"name":"TFTChampion","disname":"H涓禪NCLE","type":3,"block":6,"hp":18},{"name":"TFT5_Vayne","disname":"U2000108_TFT5_Vayne_1","type":5,"block":6,"hp":500},{"name":"TFT5_Senna","disname":"U2000380_TFT5_Senna_1","type":5,"block":2,"hp":500},{"name":"TFT5_Vladimir","disname":"U2000209_TFT5_Vladimir_1","type":5,"block":2,"hp":650},{"name":"TFT5_Udyr","disname":"U2000175_TFT5_Udyr_1","type":5,"block":1,"hp":700},{"name":"TFT5_Leona","disname":"U2000135_TFT5_Leona_1","type":5,"block":6,"hp":700},{"name":"TFT5_Olaf","disname":"U2000406_TFT5_Olaf_1","type":5,"block":6,"hp":650},{"name":"TFT5_Vayne","disname":"U2000109_TFT5_Vayne_1","type":5,"block":1,"hp":500},{"name":"TFT5_Vayne","disname":"U2000129_TFT5_Vayne_1","type":5,"block":1,"hp":500},{"name":"TFT5_Soraka","disname":"U2000493_TFT5_Soraka_1","type":5,"block":1,"hp":550},{"name":"TFT5_Kled","disname":"U2000255_TFT5_Kled_1","type":5,"block":0,"hp":400},{"name":"TFT5_Zyra","disname":"U2000863_TFT5_Zyra_1","type":5,"block":6,"hp":600},{"name":"TFT5_Vladimir","disname":"U2000207_TFT5_Vladimir_1","type":5,"block":0,"hp":650},{"name":"TFT5_Aatrox","disname":"U2000073_TFT5_Aatrox_4","type":5,"block":1,"hp":1170},{"name":"TFT5_Nocturne","disname":"U2000936_TFT5_Nocturne_1","type":5,"block":0,"hp":650},{"name":"TFT5_Olaf","disname":"U2000408_TFT5_Olaf_1","type":5,"block":6,"hp":650},{"name":"TFT5_Nautilus","disname":"U2000633_TFT5_Nautilus_1","type":5,"block":2,"hp":750},{"name":"TFT5_Senna","disname":"U2000365_TFT5_Senna_1","type":5,"block":2,"hp":500},{"name":"TFT5_Kalista","disname":"U2000426_TFT5_Kalista_1","type":5,"block":1,"hp":900},{"name":"TFT5_Udyr","disname":"U2000183_TFT5_Udyr_1","type":5,"block":3,"hp":700},{"name":"TFT5_Olaf","disname":"U2000418_TFT5_Olaf_1","type":5,"block":5,"hp":650},{"name":"TFT5_Olaf","disname":"U2000401_TFT5_Olaf_1","type":5,"block":5,"hp":650},{"name":"TFT5_Vladimir","disname":"U2000205_TFT5_Vladimir_1","type":5,"block":0,"hp":650},{"name":"TFT5_Ashe","disname":"U2000832_TFT5_Ashe_1","type":5,"block":7,"hp":600},{"name":"TFT5_Tristana","disname":"U2000727_TFT5_Tristana_1","type":5,"block":7,"hp":550},{"name":"TFT5_Senna","disname":"U2000385_TFT5_Senna_1","type":5,"block":0,"hp":500},{"name":"TFT5_Senna","disname":"U2000368_TFT5_Senna_1","type":5,"block":0,"hp":500},{"name":"TFT5_Poppy","disname":"U2000276_TFT5_Poppy_5","type":5,"block":7,"hp":1600},{"name":"TFT5_Senna","disname":"U2000378_TFT5_Senna_2","type":5,"block":7,"hp":500},{"name":"TFT5_Udyr","disname":"U2000185_TFT5_Udyr_3","type":5,"block":8,"hp":1260},{"name":"TFT5_Kalista","disname":"U2000447_TFT5_Kalista_3","type":5,"block":8,"hp":900},{"name":"TFT5_Brand","disname":"U2000523_TFT5_Brand_4","type":5,"block":8,"hp":600},{"name":"TFT5_Olaf","disname":"U2000404_TFT5_Olaf_3","type":5,"block":2,"hp":650},{"name":"TFT5_Irelia","disname":"U2000700_TFT5_Irelia_3","type":5,"block":2,"hp":750},{"name":"TFT5_Rakan","disname":"U2000817_TFT5_Rakan_3","type":5,"block":2,"hp":800},{"name":"TFT5_Gragas","disname":"U2000320_TFT5_Gragas_3","type":5,"block":1,"hp":750},{"name":"TFT5_Riven","disname":"U2000741_TFT5_Riven_4","type":5,"block":1,"hp":800},{"name":"TFT5_Nidalee","disname":"U2000890_TFT5_Nidalee_3","type":5,"block":1,"hp":800},{"name":"TFT5_Khazix","disname":"U2000218_TFT5_Khazix_6","type":5,"block":0,"hp":500},{"name":"TFT5_Gragas","disname":"U2000328_TFT5_Gragas_3","type":5,"block":0,"hp":750},{"name":"TFT5_Nocturne","disname":"U2000949_TFT5_Nocturne_4","type":5,"block":0,"hp":650},{"name":"TFT5_Udyr","disname":"U2000171_TFT5_Udyr_2","type":5,"block":3,"hp":1260},{"name":"TFT5_Olaf","disname":"U2000400_TFT5_Olaf_2","type":5,"block":3,"hp":1170},{"name":"TFT5_Irelia","disname":"U2000704_TFT5_Irelia_2","type":5,"block":3,"hp":750},{"name":"TFT5_Thresh","disname":"U2000657_TFT5_Thresh_2","type":5,"block":6,"hp":800},{"name":"TFT5_Tristana","disname":"U2000724_TFT5_Tristana_2","type":5,"block":6,"hp":550},{"name":"TFT5_MissFortune","disname":"U2000922_TFT5_MissFortune_3","type":5,"block":6,"hp":700},{"name":"TFT5_Kalista","disname":"U2000435_TFT5_Kalista_1","type":5,"block":8,"hp":900},{"name":"TFT5_Olaf","disname":"U2000420_TFT5_Olaf_1","type":5,"block":3,"hp":650},{"name":"TFT5_Kalista","disname":"U2000437_TFT5_Kalista_1","type":5,"block":1,"hp":500},{"name":"TFT5_Udyr","disname":"U2000174_TFT5_Udyr_1","type":5,"block":3,"hp":700},{"name":"TFT5_Udyr","disname":"U2000165_TFT5_Udyr_2","type":5,"block":1,"hp":700},{"name":"TFT5_Hecarim","disname":"U2000557_TFT5_Hecarim_1","type":5,"block":6,"hp":750}]}</t>
  </si>
  <si>
    <t>{"success":true,"code":200,"msg":"鎴愬姛","data":["TFT5_Kled","TFT5_Aatrox","TFT5_Kalista","TFT5_Khazix","TFT5_Olaf"]}</t>
  </si>
  <si>
    <t>{"success":true,"code":200,"msg":"鎴愬姛","data":[{"fit":0,"name":"TFTChampion","disname":"AlphaChess","type":3,"block":0,"hp":20},{"fit":0,"name":"TFTChampion","disname":"Lamando涓禫ae","type":3,"block":7,"hp":18},{"fit":0,"name":"TFTChampion","disname":"娴佷簯鎰忎付蹇嗘偛绉?,"type":3,"block":5,"hp":16},{"fit":0,"name":"TFTChampion","disname":"oath缁寸淮","type":3,"block":2,"hp":20},{"fit":0,"name":"TFTChampion","disname":"greengodbird","type":3,"block":1,"hp":18},{"fit":0,"name":"TFTChampion","disname":"GD涓禟涓ㄥ噷鍝?,"type":3,"block":3,"hp":20},{"fit":0,"name":"TFTChampion","disname":"H涓禪NCLE","type":3,"block":6,"hp":18},{"name":"TFT5_Vayne","disname":"U2000108_TFT5_Vayne_1","type":5,"block":6,"hp":500},{"name":"TFT5_Senna","disname":"U2000380_TFT5_Senna_1","type":5,"block":2,"hp":500},{"name":"TFT5_Vladimir","disname":"U2000209_TFT5_Vladimir_1","type":5,"block":2,"hp":650},{"name":"TFT5_Udyr","disname":"U2000175_TFT5_Udyr_1","type":5,"block":1,"hp":1260},{"name":"TFT5_Leona","disname":"U2000135_TFT5_Leona_1","type":5,"block":6,"hp":700},{"name":"TFT5_Olaf","disname":"U2000406_TFT5_Olaf_1","type":5,"block":6,"hp":650},{"name":"TFT5_Vayne","disname":"U2000109_TFT5_Vayne_1","type":5,"block":1,"hp":500},{"name":"TFT5_Vayne","disname":"U2000129_TFT5_Vayne_1","type":5,"block":1,"hp":500},{"name":"TFT5_Soraka","disname":"U2000493_TFT5_Soraka_1","type":5,"block":1,"hp":550},{"name":"TFT5_Kled","disname":"U2000255_TFT5_Kled_1","type":5,"block":0,"hp":400},{"name":"TFT5_Zyra","disname":"U2000863_TFT5_Zyra_1","type":5,"block":6,"hp":600},{"name":"TFT5_Vladimir","disname":"U2000207_TFT5_Vladimir_1","type":5,"block":0,"hp":650},{"name":"TFT5_Aatrox","disname":"U2000073_TFT5_Aatrox_4","type":5,"block":1,"hp":1170},{"name":"TFT5_Nocturne","disname":"U2000936_TFT5_Nocturne_1","type":5,"block":0,"hp":650},{"name":"TFT5_Olaf","disname":"U2000408_TFT5_Olaf_1","type":5,"block":6,"hp":650},{"name":"TFT5_Nautilus","disname":"U2000633_TFT5_Nautilus_1","type":5,"block":2,"hp":750},{"name":"TFT5_Senna","disname":"U2000365_TFT5_Senna_1","type":5,"block":2,"hp":500},{"name":"TFT5_Kalista","disname":"U2000426_TFT5_Kalista_1","type":5,"block":1,"hp":900},{"name":"TFT5_Udyr","disname":"U2000183_TFT5_Udyr_1","type":5,"block":3,"hp":700},{"name":"TFT5_Vladimir","disname":"U2000205_TFT5_Vladimir_1","type":5,"block":0,"hp":650},{"name":"TFT5_Ashe","disname":"U2000832_TFT5_Ashe_1","type":5,"block":7,"hp":600},{"name":"TFT5_Tristana","disname":"U2000727_TFT5_Tristana_1","type":5,"block":7,"hp":550},{"name":"TFT5_Senna","disname":"U2000385_TFT5_Senna_1","type":5,"block":0,"hp":500},{"name":"TFT5_Senna","disname":"U2000368_TFT5_Senna_1","type":5,"block":0,"hp":500},{"name":"TFT5_Poppy","disname":"U2000276_TFT5_Poppy_5","type":5,"block":7,"hp":1600},{"name":"TFT5_Senna","disname":"U2000378_TFT5_Senna_2","type":5,"block":7,"hp":500},{"name":"TFT5_Udyr","disname":"U2000185_TFT5_Udyr_3","type":5,"block":8,"hp":1260},{"name":"TFT5_Kalista","disname":"U2000447_TFT5_Kalista_3","type":5,"block":8,"hp":900},{"name":"TFT5_Brand","disname":"U2000523_TFT5_Brand_4","type":5,"block":8,"hp":600},{"name":"TFT5_Olaf","disname":"U2000404_TFT5_Olaf_3","type":5,"block":2,"hp":650},{"name":"TFT5_Irelia","disname":"U2000700_TFT5_Irelia_3","type":5,"block":2,"hp":750},{"name":"TFT5_Rakan","disname":"U2000817_TFT5_Rakan_3","type":5,"block":2,"hp":800},{"name":"TFT5_Gragas","disname":"U2000320_TFT5_Gragas_3","type":5,"block":1,"hp":750},{"name":"TFT5_Riven","disname":"U2000741_TFT5_Riven_4","type":5,"block":1,"hp":800},{"name":"TFT5_Nidalee","disname":"U2000890_TFT5_Nidalee_3","type":5,"block":1,"hp":800},{"name":"TFT5_Khazix","disname":"U2000218_TFT5_Khazix_6","type":5,"block":0,"hp":500},{"name":"TFT5_Gragas","disname":"U2000328_TFT5_Gragas_3","type":5,"block":0,"hp":750},{"name":"TFT5_Nocturne","disname":"U2000949_TFT5_Nocturne_4","type":5,"block":0,"hp":650},{"name":"TFT5_Udyr","disname":"U2000171_TFT5_Udyr_2","type":5,"block":3,"hp":1260},{"name":"TFT5_Olaf","disname":"U2000400_TFT5_Olaf_2","type":5,"block":3,"hp":1170},{"name":"TFT5_Irelia","disname":"U2000704_TFT5_Irelia_2","type":5,"block":3,"hp":750},{"name":"TFT5_Thresh","disname":"U2000657_TFT5_Thresh_2","type":5,"block":6,"hp":800},{"name":"TFT5_Tristana","disname":"U2000724_TFT5_Tristana_2","type":5,"block":6,"hp":550},{"name":"TFT5_MissFortune","disname":"U2000922_TFT5_MissFortune_3","type":5,"block":6,"hp":700},{"name":"TFT5_Kalista","disname":"U2000435_TFT5_Kalista_1","type":5,"block":8,"hp":900},{"name":"TFT5_Olaf","disname":"U2000420_TFT5_Olaf_1","type":5,"block":3,"hp":650},{"name":"TFT5_Udyr","disname":"U2000174_TFT5_Udyr_1","type":5,"block":3,"hp":700},{"name":"TFT5_Hecarim","disname":"U2000557_TFT5_Hecarim_1","type":5,"block":6,"hp":750},{"name":"TFT5_Udyr","disname":"U2000179_TFT5_Udyr_1","type":5,"block":1,"hp":700},{"name":"TFT5_Gragas","disname":"U2000312_TFT5_Gragas_1","type":5,"block":1,"hp":750}]}</t>
  </si>
  <si>
    <t>{"success":true,"code":200,"msg":"鎴愬姛","data":[{"fit":0,"name":"TFTChampion","disname":"Lamando涓禫ae","type":3,"block":7,"hp":16},{"fit":0,"name":"TFTChampion","disname":"娴佷簯鎰忎付蹇嗘偛绉?,"type":3,"block":5,"hp":14},{"fit":0,"name":"TFTChampion","disname":"oath缁寸淮","type":3,"block":2,"hp":20},{"fit":0,"name":"TFTChampion","disname":"greengodbird","type":3,"block":1,"hp":16},{"fit":0,"name":"TFTChampion","disname":"GD涓禟涓ㄥ噷鍝?,"type":3,"block":3,"hp":20},{"fit":0,"name":"TFTChampion","disname":"H涓禪NCLE","type":3,"block":6,"hp":16},{"name":"TFT5_Vayne","disname":"U2000108_TFT5_Vayne_1","type":5,"block":6,"hp":500},{"name":"TFT5_Senna","disname":"U2000380_TFT5_Senna_1","type":5,"block":2,"hp":500},{"name":"TFT5_Vladimir","disname":"U2000209_TFT5_Vladimir_1","type":5,"block":2,"hp":650},{"name":"TFT5_Udyr","disname":"U2000175_TFT5_Udyr_1","type":5,"block":1,"hp":1260},{"name":"TFT5_Soraka","disname":"U2000493_TFT5_Soraka_1","type":5,"block":1,"hp":550},{"name":"TFT5_Kled","disname":"U2000255_TFT5_Kled_1","type":5,"block":0,"hp":400},{"name":"TFT5_Vladimir","disname":"U2000207_TFT5_Vladimir_1","type":5,"block":0,"hp":650},{"name":"TFT5_Aatrox","disname":"U2000073_TFT5_Aatrox_4","type":5,"block":1,"hp":1170},{"name":"TFT5_Nocturne","disname":"U2000936_TFT5_Nocturne_1","type":5,"block":0,"hp":650},{"name":"TFT5_Nautilus","disname":"U2000633_TFT5_Nautilus_1","type":5,"block":2,"hp":750},{"name":"TFT5_Senna","disname":"U2000365_TFT5_Senna_1","type":5,"block":2,"hp":500},{"name":"TFT5_Kalista","disname":"U2000426_TFT5_Kalista_1","type":5,"block":1,"hp":900},{"name":"TFT5_Udyr","disname":"U2000183_TFT5_Udyr_1","type":5,"block":3,"hp":1260},{"name":"TFT5_Vladimir","disname":"U2000205_TFT5_Vladimir_1","type":5,"block":0,"hp":650},{"name":"TFT5_Tristana","disname":"U2000727_TFT5_Tristana_1","type":5,"block":7,"hp":550},{"name":"TFT5_Senna","disname":"U2000385_TFT5_Senna_1","type":5,"block":0,"hp":500},{"name":"TFT5_Senna","disname":"U2000368_TFT5_Senna_1","type":5,"block":0,"hp":500},{"name":"TFT5_Tristana","disname":"U2000724_TFT5_Tristana_2","type":5,"block":6,"hp":550},{"name":"TFT5_Kalista","disname":"U2000435_TFT5_Kalista_1","type":5,"block":8,"hp":900},{"name":"TFT5_Olaf","disname":"U2000420_TFT5_Olaf_1","type":5,"block":3,"hp":650},{"name":"TFT5_Udyr","disname":"U2000179_TFT5_Udyr_1","type":5,"block":1,"hp":700},{"name":"TFT5_Gragas","disname":"U2000312_TFT5_Gragas_1","type":5,"block":1,"hp":750},{"name":"TFT5_Udyr","disname":"U2000173_TFT5_Udyr_1","type":5,"block":1,"hp":700},{"name":"TFT5_Tristana","disname":"U2000716_TFT5_Tristana_1","type":5,"block":6,"hp":550},{"name":"TFT5_Nautilus","disname":"U2000648_TFT5_Nautilus_1","type":5,"block":6,"hp":750},{"name":"TFT5_Thresh","disname":"U2000662_TFT5_Thresh_1","type":5,"block":6,"hp":800},{"name":"TFT5_Vayne","disname":"U2000129_TFT5_Vayne_2","type":5,"block":6,"hp":500},{"name":"TFT5_Soraka","disname":"U2000485_TFT5_Soraka_1","type":5,"block":1,"hp":550},{"name":"TFT5_Olaf","disname":"U2000419_TFT5_Olaf_1","type":5,"block":0,"hp":650},{"name":"TFT5_Tristana","disname":"U2000715_TFT5_Tristana_1","type":5,"block":7,"hp":550},{"name":"TFT5_Irelia","disname":"U2000694_TFT5_Irelia_1","type":5,"block":7,"hp":750},{"name":"TFT5_Aatrox","disname":"U2000078_TFT5_Aatrox_1","type":5,"block":1,"hp":650},{"name":"TFT5_Poppy","disname":"U2000276_TFT5_Poppy_6","type":5,"block":7,"hp":1600},{"name":"TFT5_Senna","disname":"U2000378_TFT5_Senna_3","type":5,"block":7,"hp":500},{"name":"TFT5_Ashe","disname":"U2000832_TFT5_Ashe_2","type":5,"block":7,"hp":600},{"name":"TFT5_Udyr","disname":"U2000185_TFT5_Udyr_4","type":5,"block":8,"hp":1260},{"name":"TFT5_Kalista","disname":"U2000447_TFT5_Kalista_4","type":5,"block":8,"hp":900},{"name":"TFT5_Brand","disname":"U2000523_TFT5_Brand_5","type":5,"block":8,"hp":600},{"name":"TFT5_Olaf","disname":"U2000404_TFT5_Olaf_5","type":5,"block":2,"hp":650},{"name":"TFT5_Irelia","disname":"U2000700_TFT5_Irelia_5","type":5,"block":2,"hp":750},{"name":"TFT5_Rakan","disname":"U2000817_TFT5_Rakan_5","type":5,"block":2,"hp":800},{"name":"TFT5_Gragas","disname":"U2000320_TFT5_Gragas_5","type":5,"block":1,"hp":750},{"name":"TFT5_Riven","disname":"U2000741_TFT5_Riven_6","type":5,"block":1,"hp":800},{"name":"TFT5_Nidalee","disname":"U2000890_TFT5_Nidalee_5","type":5,"block":1,"hp":800},{"name":"TFT5_Khazix","disname":"U2000218_TFT5_Khazix_7","type":5,"block":0,"hp":500},{"name":"TFT5_Gragas","disname":"U2000328_TFT5_Gragas_4","type":5,"block":0,"hp":750},{"name":"TFT5_Nocturne","disname":"U2000949_TFT5_Nocturne_5","type":5,"block":0,"hp":650},{"name":"TFT5_Udyr","disname":"U2000171_TFT5_Udyr_4","type":5,"block":3,"hp":1260},{"name":"TFT5_Olaf","disname":"U2000400_TFT5_Olaf_4","type":5,"block":3,"hp":1170},{"name":"TFT5_Irelia","disname":"U2000704_TFT5_Irelia_4","type":5,"block":3,"hp":750},{"name":"TFT5_Hecarim","disname":"U2000557_TFT5_Hecarim_2","type":5,"block":6,"hp":750},{"name":"TFT5_Thresh","disname":"U2000657_TFT5_Thresh_3","type":5,"block":6,"hp":800},{"name":"TFT5_MissFortune","disname":"U2000922_TFT5_MissFortune_4","type":5,"block":6,"hp":700},{"name":"TFT5_Irelia","disname":"U2000713_TFT5_Irelia_1","type":5,"block":7,"hp":750},{"name":"TFT5_Vladimir","disname":"U2000194_TFT5_Vladimir_1","type":5,"block":2,"hp":650},{"name":"TFT5_Nidalee","disname":"U2000889_TFT5_Nidalee_1","type":5,"block":3,"hp":800},{"name":"TFT5_Khazix","disname":"U2000233_TFT5_Khazix_1","type":5,"block":1,"hp":500},{"name":"TFT5_Sejuani","disname":"U2000593_TFT5_Sejuani_1","type":5,"block":6,"hp":750},{"name":"TFT5_Kalista","disname":"U2000444_TFT5_Kalista_1","type":5,"block":8,"hp":500}]}</t>
  </si>
  <si>
    <t>{"success":true,"code":200,"msg":"鎴愬姛","data":[{"fit":1,"name":"TFTChampion","disname":"AlphaChess","type":3,"block":0,"hp":20},{"fit":0,"name":"TFTChampion","disname":"Lamando涓禫ae","type":3,"block":7,"hp":16},{"fit":0,"name":"TFTChampion","disname":"娴佷簯鎰忎付蹇嗘偛绉?,"type":3,"block":5,"hp":14},{"fit":0,"name":"TFTChampion","disname":"oath缁寸淮","type":3,"block":2,"hp":20},{"fit":0,"name":"TFTChampion","disname":"greengodbird","type":3,"block":1,"hp":16},{"fit":0,"name":"TFTChampion","disname":"GD涓禟涓ㄥ噷鍝?,"type":3,"block":3,"hp":20},{"fit":0,"name":"TFTChampion","disname":"H涓禪NCLE","type":3,"block":6,"hp":16},{"name":"TFT5_Vayne","disname":"U2000108_TFT5_Vayne_1","type":5,"block":6,"hp":500},{"name":"TFT5_Senna","disname":"U2000380_TFT5_Senna_1","type":5,"block":2,"hp":500},{"name":"TFT5_Vladimir","disname":"U2000209_TFT5_Vladimir_1","type":5,"block":2,"hp":650},{"name":"TFT5_Udyr","disname":"U2000175_TFT5_Udyr_1","type":5,"block":1,"hp":1260},{"name":"TFT5_Soraka","disname":"U2000493_TFT5_Soraka_1","type":5,"block":1,"hp":550},{"name":"TFT5_Kled","disname":"U2000255_TFT5_Kled_1","type":5,"block":0,"hp":400},{"name":"TFT5_Vladimir","disname":"U2000207_TFT5_Vladimir_1","type":5,"block":0,"hp":650},{"name":"TFT5_Aatrox","disname":"U2000073_TFT5_Aatrox_4","type":5,"block":1,"hp":1170},{"name":"TFT5_Nocturne","disname":"U2000936_TFT5_Nocturne_1","type":5,"block":0,"hp":650},{"name":"TFT5_Nautilus","disname":"U2000633_TFT5_Nautilus_1","type":5,"block":2,"hp":750},{"name":"TFT5_Senna","disname":"U2000365_TFT5_Senna_1","type":5,"block":2,"hp":500},{"name":"TFT5_Kalista","disname":"U2000426_TFT5_Kalista_1","type":5,"block":1,"hp":900},{"name":"TFT5_Udyr","disname":"U2000183_TFT5_Udyr_1","type":5,"block":3,"hp":1260},{"name":"TFT5_Vladimir","disname":"U2000205_TFT5_Vladimir_1","type":5,"block":0,"hp":650},{"name":"TFT5_Tristana","disname":"U2000727_TFT5_Tristana_1","type":5,"block":7,"hp":550},{"name":"TFT5_Senna","disname":"U2000385_TFT5_Senna_1","type":5,"block":0,"hp":500},{"name":"TFT5_Senna","disname":"U2000368_TFT5_Senna_1","type":5,"block":0,"hp":500},{"name":"TFT5_Tristana","disname":"U2000724_TFT5_Tristana_2","type":5,"block":6,"hp":550},{"name":"TFT5_Kalista","disname":"U2000435_TFT5_Kalista_1","type":5,"block":8,"hp":900},{"name":"TFT5_Olaf","disname":"U2000420_TFT5_Olaf_1","type":5,"block":3,"hp":650},{"name":"TFT5_Udyr","disname":"U2000179_TFT5_Udyr_1","type":5,"block":1,"hp":700},{"name":"TFT5_Gragas","disname":"U2000312_TFT5_Gragas_1","type":5,"block":1,"hp":750},{"name":"TFT5_Udyr","disname":"U2000173_TFT5_Udyr_1","type":5,"block":1,"hp":700},{"name":"TFT5_Tristana","disname":"U2000716_TFT5_Tristana_1","type":5,"block":6,"hp":550},{"name":"TFT5_Nautilus","disname":"U2000648_TFT5_Nautilus_1","type":5,"block":6,"hp":750},{"name":"TFT5_Thresh","disname":"U2000662_TFT5_Thresh_1","type":5,"block":6,"hp":800},{"name":"TFT5_Vayne","disname":"U2000129_TFT5_Vayne_2","type":5,"block":6,"hp":500},{"name":"TFT5_Soraka","disname":"U2000485_TFT5_Soraka_1","type":5,"block":1,"hp":550},{"name":"TFT5_Olaf","disname":"U2000419_TFT5_Olaf_1","type":5,"block":0,"hp":650},{"name":"TFT5_Tristana","disname":"U2000715_TFT5_Tristana_1","type":5,"block":7,"hp":550},{"name":"TFT5_Irelia","disname":"U2000694_TFT5_Irelia_1","type":5,"block":7,"hp":750},{"name":"TFT5_Aatrox","disname":"U2000078_TFT5_Aatrox_1","type":5,"block":1,"hp":650},{"name":"TFT5_Poppy","disname":"U2000276_TFT5_Poppy_6","type":5,"block":7,"hp":1600},{"name":"TFT5_Senna","disname":"U2000378_TFT5_Senna_3","type":5,"block":7,"hp":500},{"name":"TFT5_Ashe","disname":"U2000832_TFT5_Ashe_2","type":5,"block":7,"hp":600},{"name":"TFT5_Udyr","disname":"U2000185_TFT5_Udyr_4","type":5,"block":8,"hp":1260},{"name":"TFT5_Kalista","disname":"U2000447_TFT5_Kalista_4","type":5,"block":8,"hp":900},{"name":"TFT5_Brand","disname":"U2000523_TFT5_Brand_5","type":5,"block":8,"hp":600},{"name":"TFT5_Olaf","disname":"U2000404_TFT5_Olaf_5","type":5,"block":2,"hp":650},{"name":"TFT5_Irelia","disname":"U2000700_TFT5_Irelia_5","type":5,"block":2,"hp":750},{"name":"TFT5_Rakan","disname":"U2000817_TFT5_Rakan_5","type":5,"block":2,"hp":800},{"name":"TFT5_Gragas","disname":"U2000320_TFT5_Gragas_5","type":5,"block":1,"hp":750},{"name":"TFT5_Riven","disname":"U2000741_TFT5_Riven_6","type":5,"block":1,"hp":800},{"name":"TFT5_Nidalee","disname":"U2000890_TFT5_Nidalee_5","type":5,"block":1,"hp":800},{"name":"TFT5_Khazix","disname":"U2000218_TFT5_Khazix_7","type":5,"block":0,"hp":500},{"name":"TFT5_Gragas","disname":"U2000328_TFT5_Gragas_4","type":5,"block":0,"hp":750},{"name":"TFT5_Nocturne","disname":"U2000949_TFT5_Nocturne_5","type":5,"block":0,"hp":650},{"name":"TFT5_Udyr","disname":"U2000171_TFT5_Udyr_4","type":5,"block":3,"hp":1260},{"name":"TFT5_Olaf","disname":"U2000400_TFT5_Olaf_4","type":5,"block":3,"hp":1170},{"name":"TFT5_Irelia","disname":"U2000704_TFT5_Irelia_4","type":5,"block":3,"hp":750},{"name":"TFT5_Hecarim","disname":"U2000557_TFT5_Hecarim_2","type":5,"block":6,"hp":750},{"name":"TFT5_Thresh","disname":"U2000657_TFT5_Thresh_3","type":5,"block":6,"hp":800},{"name":"TFT5_MissFortune","disname":"U2000922_TFT5_MissFortune_4","type":5,"block":6,"hp":700},{"name":"TFT5_Irelia","disname":"U2000713_TFT5_Irelia_1","type":5,"block":7,"hp":750},{"name":"TFT5_Vladimir","disname":"U2000194_TFT5_Vladimir_1","type":5,"block":2,"hp":650},{"name":"TFT5_Nidalee","disname":"U2000889_TFT5_Nidalee_1","type":5,"block":3,"hp":800},{"name":"TFT5_Khazix","disname":"U2000233_TFT5_Khazix_1","type":5,"block":1,"hp":500},{"name":"TFT5_Sejuani","disname":"U2000593_TFT5_Sejuani_1","type":5,"block":6,"hp":750},{"name":"TFT5_Kalista","disname":"U2000444_TFT5_Kalista_1","type":5,"block":8,"hp":500},{"name":"TFT5_Yasuo","disname":"U2000902_TFT5_Yasuo_1","type":5,"block":7,"hp":800},{"name":"TFT5_Udyr","disname":"U2000188_TFT5_Udyr_1","type":5,"block":8,"hp":700}]}</t>
  </si>
  <si>
    <t>{"success":true,"code":200,"msg":"鎴愬姛","data":[{"fit":1,"name":"TFTChampion","disname":"AlphaChess","type":3,"block":0,"hp":20},{"fit":0,"name":"TFTChampion","disname":"Lamando涓禫ae","type":3,"block":7,"hp":14},{"isme":true,"zt":5,"fit":0,"name":"TFTChampion","disname":"鍚鐢风閮藉崟韬?,"type":3,"block":8,"hp":18},{"fit":0,"name":"TFTChampion","disname":"娴佷簯鎰忎付蹇嗘偛绉?,"type":3,"block":5,"hp":12},{"fit":0,"name":"TFTChampion","disname":"oath缁寸淮","type":3,"block":2,"hp":20},{"fit":0,"name":"TFTChampion","disname":"greengodbird","type":3,"block":1,"hp":16},{"fit":1,"name":"TFTChampion","disname":"GD涓禟涓ㄥ噷鍝?,"type":3,"block":3,"hp":20},{"fit":0,"name":"TFTChampion","disname":"H涓禪NCLE","type":3,"block":6,"hp":14},{"name":"TFT5_Senna","disname":"U2000380_TFT5_Senna_1","type":5,"block":2,"hp":500},{"name":"TFT5_Udyr","disname":"U2000175_TFT5_Udyr_1","type":5,"block":1,"hp":1260},{"name":"TFT5_Soraka","disname":"U2000493_TFT5_Soraka_1","type":5,"block":1,"hp":550},{"name":"TFT5_Kled","disname":"U2000255_TFT5_Kled_1","type":5,"block":0,"hp":400},{"name":"TFT5_Nocturne","disname":"U2000936_TFT5_Nocturne_1","type":5,"block":0,"hp":650},{"name":"TFT5_Nautilus","disname":"U2000633_TFT5_Nautilus_1","type":5,"block":2,"hp":750},{"name":"TFT5_Udyr","disname":"U2000183_TFT5_Udyr_1","type":5,"block":3,"hp":1260},{"name":"TFT5_Tristana","disname":"U2000727_TFT5_Tristana_1","type":5,"block":7,"hp":550},{"name":"TFT5_Senna","disname":"U2000385_TFT5_Senna_1","type":5,"block":0,"hp":500},{"name":"TFT5_Senna","disname":"U2000368_TFT5_Senna_1","type":5,"block":0,"hp":500},{"name":"TFT5_Tristana","disname":"U2000724_TFT5_Tristana_2","type":5,"block":6,"hp":550},{"name":"TFT5_Olaf","disname":"U2000420_TFT5_Olaf_1","type":5,"block":3,"hp":650},{"name":"TFT5_Udyr","disname":"U2000179_TFT5_Udyr_1","type":5,"block":1,"hp":700},{"name":"TFT5_Gragas","disname":"U2000312_TFT5_Gragas_1","type":5,"block":1,"hp":750},{"name":"TFT5_Udyr","disname":"U2000173_TFT5_Udyr_1","type":5,"block":1,"hp":700},{"name":"TFT5_Tristana","disname":"U2000716_TFT5_Tristana_1","type":5,"block":6,"hp":550},{"name":"TFT5_Thresh","disname":"U2000662_TFT5_Thresh_1","type":5,"block":6,"hp":800},{"name":"TFT5_Soraka","disname":"U2000485_TFT5_Soraka_1","type":5,"block":1,"hp":550},{"name":"TFT5_Tristana","disname":"U2000715_TFT5_Tristana_1","type":5,"block":7,"hp":550},{"name":"TFT5_Aatrox","disname":"U2000078_TFT5_Aatrox_1","type":5,"block":1,"hp":650},{"name":"TFT5_Nidalee","disname":"U2000890_TFT5_Nidalee_5","type":5,"block":1,"hp":800},{"name":"TFT5_Irelia","disname":"U2000713_TFT5_Irelia_1","type":5,"block":7,"hp":750},{"name":"TFT5_Kalista","disname":"U2000444_TFT5_Kalista_1","type":5,"block":8,"hp":500},{"name":"TFT5_Udyr","disname":"U2000188_TFT5_Udyr_1","type":5,"block":8,"hp":700},{"name":"TFT5_Poppy","disname":"U2000283_TFT5_Poppy_1","type":5,"block":7,"hp":600},{"name":"TFT5_Olaf","disname":"U2000407_TFT5_Olaf_1","type":5,"block":1,"hp":650},{"name":"TFT5_Irelia","disname":"U2000709_TFT5_Irelia_1","type":5,"block":5,"hp":750},{"name":"TFT5_Tristana","disname":"U2000728_TFT5_Tristana_1","type":5,"block":5,"hp":550},{"name":"TFT5_Ziggs","disname":"U2000340_TFT5_Ziggs_1","type":5,"block":5,"hp":450},{"name":"TFT5_Varus","disname":"U2000458_TFT5_Varus_1","type":5,"block":5,"hp":600},{"name":"TFT5_Poppy","disname":"U2000276_TFT5_Poppy_7","type":5,"block":7,"hp":1600},{"name":"TFT5_Senna","disname":"U2000378_TFT5_Senna_4","type":5,"block":7,"hp":500},{"name":"TFT5_Irelia","disname":"U2000694_TFT5_Irelia_2","type":5,"block":7,"hp":750},{"name":"TFT5_Yasuo","disname":"U2000902_TFT5_Yasuo_2","type":5,"block":7,"hp":800},{"name":"TFT5_Udyr","disname":"U2000185_TFT5_Udyr_6","type":5,"block":8,"hp":1260},{"name":"TFT5_Kalista","disname":"U2000435_TFT5_Kalista_3","type":5,"block":8,"hp":900},{"name":"TFT5_Kalista","disname":"U2000447_TFT5_Kalista_6","type":5,"block":8,"hp":900},{"name":"TFT5_Brand","disname":"U2000523_TFT5_Brand_7","type":5,"block":8,"hp":600},{"name":"TFT5_Senna","disname":"U2000365_TFT5_Senna_2","type":5,"block":2,"hp":500},{"name":"TFT5_Olaf","disname":"U2000404_TFT5_Olaf_6","type":5,"block":2,"hp":650},{"name":"TFT5_Irelia","disname":"U2000700_TFT5_Irelia_6","type":5,"block":2,"hp":750},{"name":"TFT5_Rakan","disname":"U2000817_TFT5_Rakan_6","type":5,"block":2,"hp":800},{"name":"TFT5_Aatrox","disname":"U2000073_TFT5_Aatrox_6","type":5,"block":1,"hp":1320},{"name":"TFT5_Khazix","disname":"U2000233_TFT5_Khazix_3","type":5,"block":1,"hp":900},{"name":"TFT5_Gragas","disname":"U2000320_TFT5_Gragas_7","type":5,"block":1,"hp":750},{"name":"TFT5_Riven","disname":"U2000741_TFT5_Riven_8","type":5,"block":1,"hp":800},{"name":"TFT5_Vladimir","disname":"U2000207_TFT5_Vladimir_3","type":5,"block":0,"hp":1170},{"name":"TFT5_Khazix","disname":"U2000218_TFT5_Khazix_9","type":5,"block":0,"hp":500},{"name":"TFT5_Gragas","disname":"U2000328_TFT5_Gragas_6","type":5,"block":0,"hp":750},{"name":"TFT5_Nocturne","disname":"U2000949_TFT5_Nocturne_7","type":5,"block":0,"hp":650},{"name":"TFT5_Udyr","disname":"U2000171_TFT5_Udyr_5","type":5,"block":3,"hp":1260},{"name":"TFT5_Olaf","disname":"U2000400_TFT5_Olaf_5","type":5,"block":3,"hp":1170},{"name":"TFT5_Irelia","disname":"U2000704_TFT5_Irelia_5","type":5,"block":3,"hp":750},{"name":"TFT5_Nidalee","disname":"U2000889_TFT5_Nidalee_2","type":5,"block":3,"hp":800},{"name":"TFT5_Vayne","disname":"U2000129_TFT5_Vayne_3","type":5,"block":6,"hp":900},{"name":"TFT5_Hecarim","disname":"U2000557_TFT5_Hecarim_3","type":5,"block":6,"hp":1350},{"name":"TFT5_Thresh","disname":"U2000657_TFT5_Thresh_4","type":5,"block":6,"hp":800},{"name":"TFT5_MissFortune","disname":"U2000922_TFT5_MissFortune_5","type":5,"block":6,"hp":700},{"name":"TFT5_LeeSin","disname":"U2000769_TFT5_LeeSin_1","type":5,"block":3,"hp":800},{"name":"TFT5_Kennen","disname":"U2000610_TFT5_Kennen_1","type":5,"block":3,"hp":600},{"name":"TFT5_Poppy","disname":"U2000298_TFT5_Poppy_1","type":5,"block":5,"hp":600},{"name":"TFT5_Senna","disname":"U2000379_TFT5_Senna_1","type":5,"block":7,"hp":500},{"name":"TFT5_Vayne","disname":"U2000120_TFT5_Vayne_1","type":5,"block":6,"hp":500},{"name":"TFT5_Vladimir","disname":"U2000206_TFT5_Vladimir_1","type":5,"block":2,"hp":1170},{"name":"TFT5_Vayne","disname":"U2000111_TFT5_Vayne_1","type":5,"block":6,"hp":500},{"name":"TFT5_Udyr","disname":"U2000186_TFT5_Udyr_1","type":5,"block":2,"hp":700}]}</t>
  </si>
  <si>
    <t>{"success":true,"code":200,"msg":"鎴愬姛","data":[{"fit":1,"name":"TFTChampion","disname":"AlphaChess","type":3,"block":0,"hp":18},{"fit":0,"name":"TFTChampion","disname":"Lamando涓禫ae","type":3,"block":7,"hp":12},{"isme":true,"zt":5,"fit":0,"name":"TFTChampion","disname":"鍚鐢风閮藉崟韬?,"type":3,"block":8,"hp":16},{"fit":0,"name":"TFTChampion","disname":"娴佷簯鎰忎付蹇嗘偛绉?,"type":3,"block":5,"hp":10},{"fit":1,"name":"TFTChampion","disname":"oath缁寸淮","type":3,"block":2,"hp":20},{"fit":0,"name":"TFTChampion","disname":"greengodbird","type":3,"block":1,"hp":16},{"fit":1,"name":"TFTChampion","disname":"GD涓禟涓ㄥ噷鍝?,"type":3,"block":3,"hp":20},{"fit":0,"name":"TFTChampion","disname":"H涓禪NCLE","type":3,"block":6,"hp":14},{"name":"TFT5_Senna","disname":"U2000380_TFT5_Senna_1","type":5,"block":2,"hp":900},{"name":"TFT5_Udyr","disname":"U2000175_TFT5_Udyr_1","type":5,"block":1,"hp":1260},{"name":"TFT5_Soraka","disname":"U2000493_TFT5_Soraka_1","type":5,"block":1,"hp":550},{"name":"TFT5_Nocturne","disname":"U2000936_TFT5_Nocturne_1","type":5,"block":0,"hp":650},{"name":"TFT5_Nautilus","disname":"U2000633_TFT5_Nautilus_1","type":5,"block":2,"hp":750},{"name":"TFT5_Udyr","disname":"U2000183_TFT5_Udyr_1","type":5,"block":3,"hp":1260},{"name":"TFT5_Tristana","disname":"U2000727_TFT5_Tristana_1","type":5,"block":7,"hp":990},{"name":"TFT5_Senna","disname":"U2000385_TFT5_Senna_1","type":5,"block":0,"hp":500},{"name":"TFT5_Senna","disname":"U2000368_TFT5_Senna_1","type":5,"block":0,"hp":500},{"name":"TFT5_Tristana","disname":"U2000724_TFT5_Tristana_2","type":5,"block":6,"hp":550},{"name":"TFT5_Olaf","disname":"U2000420_TFT5_Olaf_1","type":5,"block":3,"hp":650},{"name":"TFT5_Gragas","disname":"U2000312_TFT5_Gragas_1","type":5,"block":1,"hp":750},{"name":"TFT5_Tristana","disname":"U2000716_TFT5_Tristana_1","type":5,"block":6,"hp":550},{"name":"TFT5_Thresh","disname":"U2000662_TFT5_Thresh_1","type":5,"block":6,"hp":800},{"name":"TFT5_Soraka","disname":"U2000485_TFT5_Soraka_1","type":5,"block":1,"hp":550},{"name":"TFT5_Aatrox","disname":"U2000078_TFT5_Aatrox_1","type":5,"block":1,"hp":650},{"name":"TFT5_Nidalee","disname":"U2000890_TFT5_Nidalee_5","type":5,"block":1,"hp":800},{"name":"TFT5_Irelia","disname":"U2000713_TFT5_Irelia_1","type":5,"block":7,"hp":750},{"name":"TFT5_Kalista","disname":"U2000444_TFT5_Kalista_1","type":5,"block":8,"hp":500},{"name":"TFT5_Udyr","disname":"U2000188_TFT5_Udyr_1","type":5,"block":8,"hp":700},{"name":"TFT5_Olaf","disname":"U2000407_TFT5_Olaf_1","type":5,"block":1,"hp":650},{"name":"TFT5_Irelia","disname":"U2000709_TFT5_Irelia_1","type":5,"block":5,"hp":750},{"name":"TFT5_Irelia","disname":"U2000704_TFT5_Irelia_5","type":5,"block":3,"hp":750},{"name":"TFT5_Kennen","disname":"U2000610_TFT5_Kennen_1","type":5,"block":3,"hp":600},{"name":"TFT5_Senna","disname":"U2000379_TFT5_Senna_1","type":5,"block":7,"hp":500},{"name":"TFT5_Vayne","disname":"U2000120_TFT5_Vayne_1","type":5,"block":6,"hp":500},{"name":"TFT5_Vayne","disname":"U2000111_TFT5_Vayne_1","type":5,"block":6,"hp":500},{"name":"TFT5_MissFortune","disname":"U2000921_TFT5_MissFortune_2","type":5,"block":5,"hp":700},{"name":"TFT5_Senna","disname":"U2000381_TFT5_Senna_1","type":5,"block":5,"hp":500},{"name":"TFT5_Poppy","disname":"U2000276_TFT5_Poppy_8","type":5,"block":7,"hp":2080},{"name":"TFT5_Senna","disname":"U2000378_TFT5_Senna_5","type":5,"block":7,"hp":500},{"name":"TFT5_Irelia","disname":"U2000694_TFT5_Irelia_3","type":5,"block":7,"hp":750},{"name":"TFT5_Yasuo","disname":"U2000902_TFT5_Yasuo_3","type":5,"block":7,"hp":800},{"name":"TFT5_Udyr","disname":"U2000185_TFT5_Udyr_8","type":5,"block":8,"hp":1260},{"name":"TFT5_Kalista","disname":"U2000435_TFT5_Kalista_5","type":5,"block":8,"hp":900},{"name":"TFT5_Kalista","disname":"U2000447_TFT5_Kalista_8","type":5,"block":8,"hp":900},{"name":"TFT5_Brand","disname":"U2000523_TFT5_Brand_9","type":5,"block":8,"hp":600},{"name":"TFT5_Poppy","disname":"U2000298_TFT5_Poppy_2","type":5,"block":5,"hp":600},{"name":"TFT5_Ziggs","disname":"U2000340_TFT5_Ziggs_2","type":5,"block":5,"hp":450},{"name":"TFT5_Tristana","disname":"U2000728_TFT5_Tristana_2","type":5,"block":5,"hp":550},{"name":"TFT5_Vladimir","disname":"U2000206_TFT5_Vladimir_2","type":5,"block":2,"hp":1170},{"name":"TFT5_Olaf","disname":"U2000404_TFT5_Olaf_7","type":5,"block":2,"hp":650},{"name":"TFT5_Irelia","disname":"U2000700_TFT5_Irelia_7","type":5,"block":2,"hp":750},{"name":"TFT5_Rakan","disname":"U2000817_TFT5_Rakan_7","type":5,"block":2,"hp":800},{"name":"TFT5_Aatrox","disname":"U2000073_TFT5_Aatrox_8","type":5,"block":1,"hp":1320},{"name":"TFT5_Khazix","disname":"U2000233_TFT5_Khazix_5","type":5,"block":1,"hp":900},{"name":"TFT5_Gragas","disname":"U2000320_TFT5_Gragas_9","type":5,"block":1,"hp":750},{"name":"TFT5_Riven","disname":"U2000741_TFT5_Riven_10","type":5,"block":1,"hp":800},{"name":"TFT5_Vladimir","disname":"U2000207_TFT5_Vladimir_5","type":5,"block":0,"hp":1170},{"name":"TFT5_Khazix","disname":"U2000218_TFT5_Khazix_11","type":5,"block":0,"hp":500},{"name":"TFT5_Gragas","disname":"U2000328_TFT5_Gragas_8","type":5,"block":0,"hp":750},{"name":"TFT5_Nocturne","disname":"U2000949_TFT5_Nocturne_9","type":5,"block":0,"hp":650},{"name":"TFT5_Udyr","disname":"U2000171_TFT5_Udyr_7","type":5,"block":3,"hp":1260},{"name":"TFT5_Olaf","disname":"U2000400_TFT5_Olaf_7","type":5,"block":3,"hp":1170},{"name":"TFT5_LeeSin","disname":"U2000769_TFT5_LeeSin_3","type":5,"block":3,"hp":800},{"name":"TFT5_Nidalee","disname":"U2000889_TFT5_Nidalee_4","type":5,"block":3,"hp":800},{"name":"TFT5_Vayne","disname":"U2000129_TFT5_Vayne_4","type":5,"block":6,"hp":900},{"name":"TFT5_Hecarim","disname":"U2000557_TFT5_Hecarim_4","type":5,"block":6,"hp":1350},{"name":"TFT5_Thresh","disname":"U2000657_TFT5_Thresh_5","type":5,"block":6,"hp":800},{"name":"TFT5_MissFortune","disname":"U2000922_TFT5_MissFortune_6","type":5,"block":6,"hp":700},{"name":"TFT5_Pyke","disname":"U2000571_TFT5_Pyke_1","type":5,"block":3,"hp":650},{"name":"TFT5_Sett","disname":"U2000685_TFT5_Sett_1","type":5,"block":8,"hp":800},{"name":"TFT5_Udyr","disname":"U2000168_TFT5_Udyr_1","type":5,"block":1,"hp":1260},{"name":"TFT5_Khazix","disname":"U2000237_TFT5_Khazix_1","type":5,"block":1,"hp":500}]}</t>
  </si>
  <si>
    <t>{"success":true,"code":200,"msg":"鎴愬姛","data":[{"fit":1,"name":"TFTChampion","disname":"AlphaChess","type":3,"block":0,"hp":18},{"fit":0,"name":"TFTChampion","disname":"Lamando涓禫ae","type":3,"block":7,"hp":12},{"isme":true,"zt":5,"fit":0,"name":"TFTChampion","disname":"鍚鐢风閮藉崟韬?,"type":3,"block":8,"hp":16},{"fit":0,"name":"TFTChampion","disname":"娴佷簯鎰忎付蹇嗘偛绉?,"type":3,"block":5,"hp":10},{"fit":1,"name":"TFTChampion","disname":"oath缁寸淮","type":3,"block":2,"hp":20},{"fit":0,"name":"TFTChampion","disname":"greengodbird","type":3,"block":1,"hp":16},{"fit":1,"name":"TFTChampion","disname":"GD涓禟涓ㄥ噷鍝?,"type":3,"block":3,"hp":20},{"fit":0,"name":"TFTChampion","disname":"H涓禪NCLE","type":3,"block":6,"hp":14},{"name":"TFT5_Soraka","disname":"U2000493_TFT5_Soraka_1","type":5,"block":1,"hp":550},{"name":"TFT5_Nocturne","disname":"U2000936_TFT5_Nocturne_1","type":5,"block":0,"hp":650},{"name":"TFT5_Nautilus","disname":"U2000633_TFT5_Nautilus_1","type":5,"block":2,"hp":750},{"name":"TFT5_Udyr","disname":"U2000183_TFT5_Udyr_1","type":5,"block":3,"hp":1260},{"name":"TFT5_Tristana","disname":"U2000724_TFT5_Tristana_2","type":5,"block":6,"hp":550},{"name":"TFT5_Olaf","disname":"U2000420_TFT5_Olaf_1","type":5,"block":3,"hp":650},{"name":"TFT5_Gragas","disname":"U2000312_TFT5_Gragas_1","type":5,"block":1,"hp":750},{"name":"TFT5_Thresh","disname":"U2000662_TFT5_Thresh_1","type":5,"block":6,"hp":800},{"name":"TFT5_Soraka","disname":"U2000485_TFT5_Soraka_1","type":5,"block":1,"hp":550},{"name":"TFT5_Aatrox","disname":"U2000078_TFT5_Aatrox_1","type":5,"block":1,"hp":650},{"name":"TFT5_Nidalee","disname":"U2000890_TFT5_Nidalee_5","type":5,"block":1,"hp":800},{"name":"TFT5_Irelia","disname":"U2000713_TFT5_Irelia_1","type":5,"block":7,"hp":750},{"name":"TFT5_Kalista","disname":"U2000444_TFT5_Kalista_1","type":5,"block":8,"hp":500},{"name":"TFT5_Udyr","disname":"U2000188_TFT5_Udyr_1","type":5,"block":8,"hp":700},{"name":"TFT5_Olaf","disname":"U2000407_TFT5_Olaf_1","type":5,"block":1,"hp":650},{"name":"TFT5_Kennen","disname":"U2000610_TFT5_Kennen_1","type":5,"block":3,"hp":600},{"name":"TFT5_Senna","disname":"U2000379_TFT5_Senna_1","type":5,"block":7,"hp":500},{"name":"TFT5_Vayne","disname":"U2000120_TFT5_Vayne_1","type":5,"block":6,"hp":500},{"name":"TFT5_Vayne","disname":"U2000111_TFT5_Vayne_1","type":5,"block":6,"hp":500},{"name":"TFT5_LeeSin","disname":"U2000769_TFT5_LeeSin_3","type":5,"block":3,"hp":800},{"name":"TFT5_Udyr","disname":"U2000168_TFT5_Udyr_1","type":5,"block":1,"hp":1260},{"name":"TFT5_Khazix","disname":"U2000237_TFT5_Khazix_1","type":5,"block":1,"hp":500},{"name":"TFT5_Draven","disname":"U2001079_TFT5_Draven_1","type":5,"block":6,"hp":700},{"name":"TFT5_Poppy","disname":"U2000276_TFT5_Poppy_9","type":5,"block":7,"hp":2080},{"name":"TFT5_Senna","disname":"U2000378_TFT5_Senna_6","type":5,"block":7,"hp":500},{"name":"TFT5_Irelia","disname":"U2000694_TFT5_Irelia_4","type":5,"block":7,"hp":750},{"name":"TFT5_Tristana","disname":"U2000727_TFT5_Tristana_2","type":5,"block":7,"hp":990},{"name":"TFT5_Yasuo","disname":"U2000902_TFT5_Yasuo_4","type":5,"block":7,"hp":800},{"name":"TFT5_Udyr","disname":"U2000185_TFT5_Udyr_9","type":5,"block":8,"hp":1260},{"name":"TFT5_Kalista","disname":"U2000435_TFT5_Kalista_6","type":5,"block":8,"hp":900},{"name":"TFT5_Kalista","disname":"U2000447_TFT5_Kalista_9","type":5,"block":8,"hp":900},{"name":"TFT5_Brand","disname":"U2000523_TFT5_Brand_10","type":5,"block":8,"hp":600},{"name":"TFT5_Sett","disname":"U2000685_TFT5_Sett_2","type":5,"block":8,"hp":800},{"name":"TFT5_Poppy","disname":"U2000298_TFT5_Poppy_3","type":5,"block":5,"hp":600},{"name":"TFT5_Ziggs","disname":"U2000340_TFT5_Ziggs_3","type":5,"block":5,"hp":450},{"name":"TFT5_Tristana","disname":"U2000728_TFT5_Tristana_3","type":5,"block":5,"hp":550},{"name":"TFT5_MissFortune","disname":"U2000921_TFT5_MissFortune_3","type":5,"block":5,"hp":700},{"name":"TFT5_Vladimir","disname":"U2000206_TFT5_Vladimir_3","type":5,"block":2,"hp":1170},{"name":"TFT5_Senna","disname":"U2000380_TFT5_Senna_2","type":5,"block":2,"hp":900},{"name":"TFT5_Olaf","disname":"U2000404_TFT5_Olaf_8","type":5,"block":2,"hp":650},{"name":"TFT5_Irelia","disname":"U2000700_TFT5_Irelia_8","type":5,"block":2,"hp":750},{"name":"TFT5_Rakan","disname":"U2000817_TFT5_Rakan_8","type":5,"block":2,"hp":800},{"name":"TFT5_Aatrox","disname":"U2000073_TFT5_Aatrox_9","type":5,"block":1,"hp":1320},{"name":"TFT5_Udyr","disname":"U2000175_TFT5_Udyr_2","type":5,"block":1,"hp":1260},{"name":"TFT5_Khazix","disname":"U2000233_TFT5_Khazix_6","type":5,"block":1,"hp":900},{"name":"TFT5_Gragas","disname":"U2000320_TFT5_Gragas_10","type":5,"block":1,"hp":750},{"name":"TFT5_Riven","disname":"U2000741_TFT5_Riven_11","type":5,"block":1,"hp":800},{"name":"TFT5_Vladimir","disname":"U2000207_TFT5_Vladimir_6","type":5,"block":0,"hp":1170},{"name":"TFT5_Khazix","disname":"U2000218_TFT5_Khazix_12","type":5,"block":0,"hp":500},{"name":"TFT5_Gragas","disname":"U2000328_TFT5_Gragas_9","type":5,"block":0,"hp":750},{"name":"TFT5_Senna","disname":"U2000371_TFT5_Senna_2","type":5,"block":0,"hp":900},{"name":"TFT5_Nocturne","disname":"U2000949_TFT5_Nocturne_10","type":5,"block":0,"hp":650},{"name":"TFT5_Udyr","disname":"U2000171_TFT5_Udyr_8","type":5,"block":3,"hp":1260},{"name":"TFT5_Olaf","disname":"U2000400_TFT5_Olaf_8","type":5,"block":3,"hp":1170},{"name":"TFT5_Pyke","disname":"U2000571_TFT5_Pyke_2","type":5,"block":3,"hp":650},{"name":"TFT5_Irelia","disname":"U2000704_TFT5_Irelia_6","type":5,"block":3,"hp":750},{"name":"TFT5_Nidalee","disname":"U2000889_TFT5_Nidalee_5","type":5,"block":3,"hp":800},{"name":"TFT5_Vayne","disname":"U2000129_TFT5_Vayne_5","type":5,"block":6,"hp":900},{"name":"TFT5_Hecarim","disname":"U2000557_TFT5_Hecarim_5","type":5,"block":6,"hp":1350},{"name":"TFT5_Thresh","disname":"U2000657_TFT5_Thresh_6","type":5,"block":6,"hp":800},{"name":"TFT5_Tristana","disname":"U2000716_TFT5_Tristana_2","type":5,"block":6,"hp":550},{"name":"TFT5_MissFortune","disname":"U2000922_TFT5_MissFortune_7","type":5,"block":6,"hp":700},{"name":"TFT5_Pyke","disname":"U2000582_TFT5_Pyke_1","type":5,"block":7,"hp":650},{"name":"TFT5_Pyke","disname":"U2000568_TFT5_Pyke_1","type":5,"block":7,"hp":650},{"name":"TFT5_Nidalee","disname":"U2000896_TFT5_Nidalee_1","type":5,"block":7,"hp":800},{"name":"TFT5_Nidalee","disname":"U2000888_TFT5_Nidalee_1","type":5,"block":3,"hp":800},{"name":"TFT5_Kennen","disname":"U2000619_TFT5_Kennen_1","type":5,"block":3,"hp":600}]}</t>
  </si>
  <si>
    <t>{"success":true,"code":200,"msg":"鎴愬姛","data":[{"fit":0,"name":"TFTChampion","disname":"鏄熷叞澶滈","type":3,"block":8,"hp":18},{"fit":0,"name":"TFTChampion","disname":"鏀惧紑閭ｄ釜鎵戣","type":3,"block":5,"hp":20},{"fit":0,"name":"TFTChampion","disname":"娉℃场鐚笉鍚冪礌","type":3,"block":2,"hp":20},{"fit":0,"name":"TFTChampion","disname":"鐏琕鍙嬫儏宀佹湀","type":3,"block":1,"hp":18},{"fit":0,"name":"TFTChampion","disname":"浣犲彧閰嶇帺娑堟秷涔?,"type":3,"block":0,"hp":20},{"fit":0,"name":"TFTChampion","disname":"瀹樻柟灏忕▼搴?,"type":3,"block":3,"hp":18},{"fit":1,"name":"TFTChampion","disname":"鍐伴緳灏?,"type":3,"block":6,"hp":20},{"name":"TFT5_Gragas","disname":"U2000330_TFT5_Gragas_1","type":5,"block":6,"hp":750},{"name":"TFT5_Vladimir","disname":"U2000192_TFT5_Vladimir_1","type":5,"block":6,"hp":650},{"name":"TFT5_Udyr","disname":"U2000183_TFT5_Udyr_1","type":5,"block":0,"hp":1260},{"name":"TFT5_Udyr","disname":"U2000181_TFT5_Udyr_1","type":5,"block":1,"hp":700},{"name":"TFT5_Udyr","disname":"U2000173_TFT5_Udyr_1","type":5,"block":1,"hp":700},{"name":"TFT5_Udyr","disname":"U2000182_TFT5_Udyr_1","type":5,"block":7,"hp":700},{"name":"TFT5_Leona","disname":"U2000145_TFT5_Leona_1","type":5,"block":7,"hp":700},{"name":"TFT5_Udyr","disname":"U2000185_TFT5_Udyr_1","type":5,"block":7,"hp":700},{"name":"TFT5_Olaf","disname":"U2000414_TFT5_Olaf_1","type":5,"block":7,"hp":1170},{"name":"TFT5_Lulu","disname":"U2000775_TFT5_Lulu_1","type":5,"block":6,"hp":650},{"name":"TFT5_Syndra","disname":"U2000502_TFT5_Syndra_1","type":5,"block":6,"hp":600},{"name":"TFT5_Kled","disname":"U2000247_TFT5_Kled_4","type":5,"block":7,"hp":400},{"name":"TFT5_MissFortune","disname":"U2000932_TFT5_MissFortune_1","type":5,"block":7,"hp":700},{"name":"TFT5_Ashe","disname":"U2000838_TFT5_Ashe_1","type":5,"block":7,"hp":600},{"name":"TFT5_Hecarim","disname":"U2000557_TFT5_Hecarim_1","type":5,"block":0,"hp":750},{"name":"TFT5_Olaf","disname":"U2000419_TFT5_Olaf_1","type":5,"block":5,"hp":650},{"name":"TFT5_Vayne","disname":"U2000111_TFT5_Vayne_1","type":5,"block":8,"hp":500},{"name":"TFT5_Thresh","disname":"U2000649_TFT5_Thresh_1","type":5,"block":6,"hp":800},{"name":"TFT5_Thresh","disname":"U2000662_TFT5_Thresh_1","type":5,"block":6,"hp":800},{"name":"TFT5_Vayne","disname":"U2000117_TFT5_Vayne_1","type":5,"block":6,"hp":500},{"name":"TFT5_Olaf","disname":"U2000403_TFT5_Olaf_1","type":5,"block":6,"hp":650},{"name":"TFT5_Sejuani","disname":"U2000591_TFT5_Sejuani_1","type":5,"block":0,"hp":750},{"name":"TFT5_Udyr","disname":"U2000168_TFT5_Udyr_1","type":5,"block":0,"hp":700},{"name":"TFT5_Leona","disname":"U2000156_TFT5_Leona_1","type":5,"block":0,"hp":700},{"name":"TFT5_Kled","disname":"U2000257_TFT5_Kled_1","type":5,"block":0,"hp":400},{"name":"TFT5_Senna","disname":"U2000384_TFT5_Senna_1","type":5,"block":7,"hp":500},{"name":"TFT5_Sett","disname":"U2000688_TFT5_Sett_1","type":5,"block":1,"hp":800},{"name":"TFT5_Vayne","disname":"U2000130_TFT5_Vayne_2","type":5,"block":7,"hp":500},{"name":"TFT5_Kled","disname":"U2000263_TFT5_Kled_3","type":5,"block":7,"hp":400},{"name":"TFT5_Varus","disname":"U2000462_TFT5_Varus_2","type":5,"block":7,"hp":600},{"name":"TFT5_Khazix","disname":"U2000218_TFT5_Khazix_6","type":5,"block":8,"hp":500},{"name":"TFT5_Gragas","disname":"U2000306_TFT5_Gragas_4","type":5,"block":8,"hp":750},{"name":"TFT5_Nautilus","disname":"U2000634_TFT5_Nautilus_3","type":5,"block":8,"hp":750},{"name":"TFT5_Senna","disname":"U2000370_TFT5_Senna_3","type":5,"block":5,"hp":900},{"name":"TFT5_Olaf","disname":"U2000392_TFT5_Olaf_6","type":5,"block":5,"hp":650},{"name":"TFT5_Irelia","disname":"U2000708_TFT5_Irelia_3","type":5,"block":5,"hp":750},{"name":"TFT5_Khazix","disname":"U2000235_TFT5_Khazix_2","type":5,"block":2,"hp":900},{"name":"TFT5_Gragas","disname":"U2000305_TFT5_Gragas_5","type":5,"block":2,"hp":1350},{"name":"TFT5_Irelia","disname":"U2000704_TFT5_Irelia_3","type":5,"block":2,"hp":750},{"name":"TFT5_Kalista","disname":"U2000421_TFT5_Kalista_6","type":5,"block":1,"hp":500},{"name":"TFT5_Thresh","disname":"U2000661_TFT5_Thresh_3","type":5,"block":1,"hp":800},{"name":"TFT5_Zyra","disname":"U2000854_TFT5_Zyra_4","type":5,"block":1,"hp":600},{"name":"TFT5_Leona","disname":"U2000143_TFT5_Leona_2","type":5,"block":0,"hp":700},{"name":"TFT5_Poppy","disname":"U2000276_TFT5_Poppy_5","type":5,"block":0,"hp":1080},{"name":"TFT5_Ziggs","disname":"U2000341_TFT5_Ziggs_3","type":5,"block":0,"hp":450},{"name":"TFT5_Aatrox","disname":"U2000087_TFT5_Aatrox_3","type":5,"block":3,"hp":650},{"name":"TFT5_Leona","disname":"U2000131_TFT5_Leona_5","type":5,"block":3,"hp":700},{"name":"TFT5_LeeSin","disname":"U2000756_TFT5_LeeSin_2","type":5,"block":3,"hp":800},{"name":"TFT5_Udyr","disname":"U2000160_TFT5_Udyr_6","type":5,"block":6,"hp":1260},{"name":"TFT5_Gragas","disname":"U2000325_TFT5_Gragas_4","type":5,"block":6,"hp":750},{"name":"TFT5_Senna","disname":"U2000371_TFT5_Senna_3","type":5,"block":6,"hp":500},{"name":"TFT5_Nautilus","disname":"U2000646_TFT5_Nautilus_1","type":5,"block":3,"hp":750},{"name":"TFT5_Poppy","disname":"U2000287_TFT5_Poppy_1","type":5,"block":0,"hp":600},{"name":"TFT5_Kled","disname":"U2000255_TFT5_Kled_1","type":5,"block":0,"hp":400},{"name":"TFT5_Gragas","disname":"U2000316_TFT5_Gragas_1","type":5,"block":2,"hp":750}]}</t>
  </si>
  <si>
    <t>{"success":true,"code":200,"msg":"鎴愬姛","data":[{"fit":0,"name":"TFTChampion","disname":"鏄熷叞澶滈","type":3,"block":8,"hp":18},{"fit":0,"name":"TFTChampion","disname":"鏀惧紑閭ｄ釜鎵戣","type":3,"block":5,"hp":20},{"fit":0,"name":"TFTChampion","disname":"娉℃场鐚笉鍚冪礌","type":3,"block":2,"hp":20},{"fit":0,"name":"TFTChampion","disname":"鐏琕鍙嬫儏宀佹湀","type":3,"block":1,"hp":18},{"fit":0,"name":"TFTChampion","disname":"浣犲彧閰嶇帺娑堟秷涔?,"type":3,"block":0,"hp":20},{"fit":0,"name":"TFTChampion","disname":"瀹樻柟灏忕▼搴?,"type":3,"block":3,"hp":18},{"fit":1,"name":"TFTChampion","disname":"鍐伴緳灏?,"type":3,"block":6,"hp":20},{"name":"TFT5_Vladimir","disname":"U2000192_TFT5_Vladimir_1","type":5,"block":6,"hp":650},{"name":"TFT5_Udyr","disname":"U2000181_TFT5_Udyr_1","type":5,"block":1,"hp":700},{"name":"TFT5_Udyr","disname":"U2000173_TFT5_Udyr_1","type":5,"block":1,"hp":700},{"name":"TFT5_Udyr","disname":"U2000182_TFT5_Udyr_1","type":5,"block":7,"hp":700},{"name":"TFT5_Leona","disname":"U2000145_TFT5_Leona_1","type":5,"block":7,"hp":700},{"name":"TFT5_Udyr","disname":"U2000185_TFT5_Udyr_1","type":5,"block":7,"hp":700},{"name":"TFT5_Olaf","disname":"U2000414_TFT5_Olaf_1","type":5,"block":7,"hp":1170},{"name":"TFT5_Lulu","disname":"U2000775_TFT5_Lulu_1","type":5,"block":6,"hp":650},{"name":"TFT5_Syndra","disname":"U2000502_TFT5_Syndra_1","type":5,"block":6,"hp":600},{"name":"TFT5_Kled","disname":"U2000247_TFT5_Kled_4","type":5,"block":7,"hp":400},{"name":"TFT5_MissFortune","disname":"U2000932_TFT5_MissFortune_1","type":5,"block":7,"hp":700},{"name":"TFT5_Ashe","disname":"U2000838_TFT5_Ashe_1","type":5,"block":7,"hp":600},{"name":"TFT5_Hecarim","disname":"U2000557_TFT5_Hecarim_1","type":5,"block":0,"hp":750},{"name":"TFT5_Olaf","disname":"U2000419_TFT5_Olaf_1","type":5,"block":5,"hp":650},{"name":"TFT5_Vayne","disname":"U2000111_TFT5_Vayne_1","type":5,"block":8,"hp":500},{"name":"TFT5_Thresh","disname":"U2000649_TFT5_Thresh_1","type":5,"block":6,"hp":800},{"name":"TFT5_Thresh","disname":"U2000662_TFT5_Thresh_1","type":5,"block":6,"hp":800},{"name":"TFT5_Vayne","disname":"U2000117_TFT5_Vayne_1","type":5,"block":6,"hp":500},{"name":"TFT5_Olaf","disname":"U2000403_TFT5_Olaf_1","type":5,"block":6,"hp":650},{"name":"TFT5_Sejuani","disname":"U2000591_TFT5_Sejuani_1","type":5,"block":0,"hp":750},{"name":"TFT5_Leona","disname":"U2000156_TFT5_Leona_1","type":5,"block":0,"hp":700},{"name":"TFT5_Kled","disname":"U2000257_TFT5_Kled_1","type":5,"block":0,"hp":400},{"name":"TFT5_Senna","disname":"U2000384_TFT5_Senna_1","type":5,"block":7,"hp":500},{"name":"TFT5_Sett","disname":"U2000688_TFT5_Sett_1","type":5,"block":1,"hp":800},{"name":"TFT5_Vayne","disname":"U2000130_TFT5_Vayne_2","type":5,"block":7,"hp":500},{"name":"TFT5_Kled","disname":"U2000263_TFT5_Kled_3","type":5,"block":7,"hp":400},{"name":"TFT5_Varus","disname":"U2000462_TFT5_Varus_2","type":5,"block":7,"hp":600},{"name":"TFT5_Khazix","disname":"U2000218_TFT5_Khazix_6","type":5,"block":8,"hp":500},{"name":"TFT5_Gragas","disname":"U2000306_TFT5_Gragas_4","type":5,"block":8,"hp":750},{"name":"TFT5_Nautilus","disname":"U2000634_TFT5_Nautilus_3","type":5,"block":8,"hp":750},{"name":"TFT5_Senna","disname":"U2000370_TFT5_Senna_3","type":5,"block":5,"hp":900},{"name":"TFT5_Olaf","disname":"U2000392_TFT5_Olaf_6","type":5,"block":5,"hp":650},{"name":"TFT5_Irelia","disname":"U2000708_TFT5_Irelia_3","type":5,"block":5,"hp":750},{"name":"TFT5_Khazix","disname":"U2000235_TFT5_Khazix_2","type":5,"block":2,"hp":900},{"name":"TFT5_Gragas","disname":"U2000305_TFT5_Gragas_5","type":5,"block":2,"hp":1350},{"name":"TFT5_Irelia","disname":"U2000704_TFT5_Irelia_3","type":5,"block":2,"hp":750},{"name":"TFT5_Kalista","disname":"U2000421_TFT5_Kalista_6","type":5,"block":1,"hp":500},{"name":"TFT5_Thresh","disname":"U2000661_TFT5_Thresh_3","type":5,"block":1,"hp":800},{"name":"TFT5_Zyra","disname":"U2000854_TFT5_Zyra_4","type":5,"block":1,"hp":600},{"name":"TFT5_Leona","disname":"U2000143_TFT5_Leona_2","type":5,"block":0,"hp":700},{"name":"TFT5_Poppy","disname":"U2000276_TFT5_Poppy_5","type":5,"block":0,"hp":1080},{"name":"TFT5_Ziggs","disname":"U2000341_TFT5_Ziggs_3","type":5,"block":0,"hp":450},{"name":"TFT5_LeeSin","disname":"U2000756_TFT5_LeeSin_2","type":5,"block":3,"hp":800},{"name":"TFT5_Udyr","disname":"U2000160_TFT5_Udyr_6","type":5,"block":6,"hp":1260},{"name":"TFT5_Gragas","disname":"U2000325_TFT5_Gragas_4","type":5,"block":6,"hp":1350},{"name":"TFT5_Senna","disname":"U2000371_TFT5_Senna_3","type":5,"block":6,"hp":500},{"name":"TFT5_Nautilus","disname":"U2000646_TFT5_Nautilus_1","type":5,"block":3,"hp":750},{"name":"TFT5_Kled","disname":"U2000255_TFT5_Kled_1","type":5,"block":0,"hp":400},{"name":"TFT5_Gragas","disname":"U2000316_TFT5_Gragas_1","type":5,"block":2,"hp":750},{"name":"TFT5_Udyr","disname":"U2000167_TFT5_Udyr_1","type":5,"block":5,"hp":700},{"name":"TFT5_Tristana","disname":"U2000716_TFT5_Tristana_1","type":5,"block":8,"hp":550},{"name":"TFT5_Udyr","disname":"U2000184_TFT5_Udyr_1","type":5,"block":3,"hp":700},{"name":"TFT5_Sejuani","disname":"U2000595_TFT5_Sejuani_1","type":5,"block":8,"hp":750},{"name":"TFT5_Gragas","disname":"U2000313_TFT5_Gragas_1","type":5,"block":2,"hp":750}]}</t>
  </si>
  <si>
    <t>{"success":true,"code":200,"msg":"鎴愬姛","data":["TFT5_Leona","TFT5_Vayne","TFT5_Poppy","TFT5_Khazix","TFT5_Gragas"]}</t>
  </si>
  <si>
    <t>{"success":true,"code":200,"msg":"鎴愬姛","data":[{"isme":true,"zt":5,"fit":0,"name":"TFTChampion","disname":"AlphaChess","type":3,"block":2,"hp":20},{"fit":0,"name":"TFTChampion","disname":"Bablov鑺辫姳閰?,"type":3,"block":7,"hp":20},{"fit":0,"name":"TFTChampion","disname":"Jusstice涓禗iablo","type":3,"block":8,"hp":20},{"fit":0,"name":"TFTChampion","disname":"鎶借摑鐧芥矙","type":3,"block":5,"hp":20},{"fit":0,"name":"TFTChampion","disname":"pjhazsc","type":3,"block":1,"hp":20},{"fit":1,"name":"TFTChampion","disname":"Journeyming","type":3,"block":0,"hp":20},{"fit":0,"name":"TFTChampion","disname":"濂跺槾琚皝鍋蜂簡","type":3,"block":3,"hp":20},{"fit":0,"name":"TFTChampion","disname":"娆ч槼鍙斿彅","type":3,"block":6,"hp":20},{"name":"TFT5_Sejuani","disname":"U2000592_TFT5_Sejuani_1","type":5,"block":2,"hp":750},{"name":"TFT5_Aatrox","disname":"U2000089_TFT5_Aatrox_1","type":5,"block":3,"hp":650},{"name":"TFT5_Senna","disname":"U2000387_TFT5_Senna_1","type":5,"block":3,"hp":500},{"name":"TFT5_Udyr","disname":"U2000167_TFT5_Udyr_1","type":5,"block":3,"hp":700},{"name":"TFT5_Vladimir","disname":"U2000189_TFT5_Vladimir_3","type":5,"block":7,"hp":650},{"name":"TFT5_Poppy","disname":"U2000276_TFT5_Poppy_3","type":5,"block":8,"hp":600},{"name":"TFT5_Udyr","disname":"U2000160_TFT5_Udyr_3","type":5,"block":5,"hp":700},{"name":"TFT5_Senna","disname":"U2000363_TFT5_Senna_3","type":5,"block":2,"hp":650},{"name":"TFT5_Kled","disname":"U2000247_TFT5_Kled_3","type":5,"block":1,"hp":400},{"name":"TFT5_Vayne","disname":"U2000102_TFT5_Vayne_3","type":5,"block":0,"hp":500},{"name":"TFT5_Khazix","disname":"U2000218_TFT5_Khazix_3","type":5,"block":3,"hp":500},{"name":"TFT5_Olaf","disname":"U2000392_TFT5_Olaf_3","type":5,"block":6,"hp":650},{"name":"TFT5_Poppy","disname":"U2000277_TFT5_Poppy_1","type":5,"block":7,"hp":600},{"name":"TFT5_Aatrox","disname":"U2000086_TFT5_Aatrox_1","type":5,"block":7,"hp":650},{"name":"TFT5_Ziggs","disname":"U2000354_TFT5_Ziggs_1","type":5,"block":7,"hp":450},{"name":"TFT5_Zyra","disname":"U2000847_TFT5_Zyra_1","type":5,"block":6,"hp":600}]}</t>
  </si>
  <si>
    <t>{"success":true,"code":200,"msg":"鎴愬姛","data":["TFT5_Leona","TFT5_Leona","TFT5_Olaf","TFT5_Olaf","TFT5_Udyr"]}</t>
  </si>
  <si>
    <t>{"success":true,"code":200,"msg":"鎴愬姛","data":[{"isme":true,"zt":5,"fit":0,"name":"TFTChampion","disname":"AlphaChess","type":3,"block":2,"hp":20},{"fit":0,"name":"TFTChampion","disname":"Bablov鑺辫姳閰?,"type":3,"block":7,"hp":20},{"fit":0,"name":"TFTChampion","disname":"Jusstice涓禗iablo","type":3,"block":8,"hp":20},{"fit":0,"name":"TFTChampion","disname":"鎶借摑鐧芥矙","type":3,"block":5,"hp":20},{"fit":0,"name":"TFTChampion","disname":"pjhazsc","type":3,"block":1,"hp":20},{"fit":1,"name":"TFTChampion","disname":"Journeyming","type":3,"block":0,"hp":20},{"fit":0,"name":"TFTChampion","disname":"濂跺槾琚皝鍋蜂簡","type":3,"block":3,"hp":20},{"fit":0,"name":"TFTChampion","disname":"娆ч槼鍙斿彅","type":3,"block":6,"hp":20},{"name":"TFT5_Aatrox","disname":"U2000089_TFT5_Aatrox_1","type":5,"block":3,"hp":650},{"name":"TFT5_Senna","disname":"U2000387_TFT5_Senna_1","type":5,"block":3,"hp":500},{"name":"TFT5_Udyr","disname":"U2000167_TFT5_Udyr_1","type":5,"block":3,"hp":700},{"name":"TFT5_Poppy","disname":"U2000277_TFT5_Poppy_1","type":5,"block":7,"hp":600},{"name":"TFT5_Aatrox","disname":"U2000086_TFT5_Aatrox_1","type":5,"block":7,"hp":650},{"name":"TFT5_Riven","disname":"U2000752_TFT5_Riven_1","type":5,"block":7,"hp":800},{"name":"TFT5_Kled","disname":"U2000268_TFT5_Kled_1","type":5,"block":8,"hp":400},{"name":"TFT5_Kled","disname":"U2000265_TFT5_Kled_1","type":5,"block":5,"hp":400},{"name":"TFT5_Gragas","disname":"U2000328_TFT5_Gragas_1","type":5,"block":7,"hp":750},{"name":"TFT5_Kled","disname":"U2000259_TFT5_Kled_1","type":5,"block":7,"hp":400},{"name":"TFT5_Senna","disname":"U2000379_TFT5_Senna_1","type":5,"block":7,"hp":500},{"name":"TFT5_Aatrox","disname":"U2000074_TFT5_Aatrox_1","type":5,"block":8,"hp":650},{"name":"TFT5_Olaf","disname":"U2000399_TFT5_Olaf_1","type":5,"block":3,"hp":650},{"name":"TFT5_Olaf","disname":"U2000405_TFT5_Olaf_1","type":5,"block":3,"hp":650},{"name":"TFT5_Udyr","disname":"U2000179_TFT5_Udyr_1","type":5,"block":0,"hp":700},{"name":"TFT5_Gragas","disname":"U2000319_TFT5_Gragas_1","type":5,"block":2,"hp":750},{"name":"TFT5_Khazix","disname":"U2000234_TFT5_Khazix_1","type":5,"block":2,"hp":500},{"name":"TFT5_Brand","disname":"U2000531_TFT5_Brand_1","type":5,"block":3,"hp":600},{"name":"TFT5_Olaf","disname":"U2000404_TFT5_Olaf_1","type":5,"block":6,"hp":650},{"name":"TFT5_Vladimir","disname":"U2000189_TFT5_Vladimir_4","type":5,"block":7,"hp":650},{"name":"TFT5_Ziggs","disname":"U2000354_TFT5_Ziggs_2","type":5,"block":7,"hp":810},{"name":"TFT5_Kled","disname":"U2000253_TFT5_Kled_2","type":5,"block":8,"hp":400},{"name":"TFT5_Poppy","disname":"U2000276_TFT5_Poppy_4","type":5,"block":8,"hp":600},{"name":"TFT5_Udyr","disname":"U2000160_TFT5_Udyr_4","type":5,"block":5,"hp":700},{"name":"TFT5_Poppy","disname":"U2000280_TFT5_Poppy_2","type":5,"block":5,"hp":1080},{"name":"TFT5_Senna","disname":"U2000363_TFT5_Senna_4","type":5,"block":2,"hp":650},{"name":"TFT5_Sejuani","disname":"U2000592_TFT5_Sejuani_2","type":5,"block":2,"hp":750},{"name":"TFT5_Kled","disname":"U2000247_TFT5_Kled_4","type":5,"block":1,"hp":400},{"name":"TFT5_Vayne","disname":"U2000102_TFT5_Vayne_4","type":5,"block":0,"hp":500},{"name":"TFT5_Vayne","disname":"U2000104_TFT5_Vayne_2","type":5,"block":0,"hp":500},{"name":"TFT5_Khazix","disname":"U2000218_TFT5_Khazix_4","type":5,"block":3,"hp":500},{"name":"TFT5_Gragas","disname":"U2000324_TFT5_Gragas_2","type":5,"block":3,"hp":750},{"name":"TFT5_Olaf","disname":"U2000392_TFT5_Olaf_4","type":5,"block":6,"hp":650},{"name":"TFT5_Zyra","disname":"U2000847_TFT5_Zyra_2","type":5,"block":6,"hp":600},{"name":"TFT5_MissFortune","disname":"U2000931_TFT5_MissFortune_1","type":5,"block":8,"hp":700},{"name":"TFT5_Riven","disname":"U2000738_TFT5_Riven_1","type":5,"block":8,"hp":800}]}</t>
  </si>
  <si>
    <t>{"success":true,"code":200,"msg":"鎴愬姛","data":[{"fit":0,"name":"TFTChampion","disname":"Bablov鑺辫姳閰?,"type":3,"block":7,"hp":20},{"fit":0,"name":"TFTChampion","disname":"Jusstice涓禗iablo","type":3,"block":8,"hp":20},{"fit":0,"name":"TFTChampion","disname":"鎶借摑鐧芥矙","type":3,"block":5,"hp":20},{"fit":0,"name":"TFTChampion","disname":"pjhazsc","type":3,"block":1,"hp":20},{"fit":1,"name":"TFTChampion","disname":"Journeyming","type":3,"block":0,"hp":20},{"fit":0,"name":"TFTChampion","disname":"濂跺槾琚皝鍋蜂簡","type":3,"block":3,"hp":20},{"fit":0,"name":"TFTChampion","disname":"娆ч槼鍙斿彅","type":3,"block":6,"hp":20},{"name":"TFT5_Aatrox","disname":"U2000089_TFT5_Aatrox_1","type":5,"block":3,"hp":650},{"name":"TFT5_Senna","disname":"U2000387_TFT5_Senna_1","type":5,"block":3,"hp":500},{"name":"TFT5_Udyr","disname":"U2000167_TFT5_Udyr_1","type":5,"block":3,"hp":700},{"name":"TFT5_Poppy","disname":"U2000277_TFT5_Poppy_1","type":5,"block":7,"hp":600},{"name":"TFT5_Aatrox","disname":"U2000086_TFT5_Aatrox_1","type":5,"block":7,"hp":650},{"name":"TFT5_Riven","disname":"U2000752_TFT5_Riven_1","type":5,"block":7,"hp":800},{"name":"TFT5_Kled","disname":"U2000268_TFT5_Kled_1","type":5,"block":8,"hp":400},{"name":"TFT5_Kled","disname":"U2000265_TFT5_Kled_1","type":5,"block":5,"hp":400},{"name":"TFT5_Gragas","disname":"U2000328_TFT5_Gragas_1","type":5,"block":7,"hp":750},{"name":"TFT5_Kled","disname":"U2000259_TFT5_Kled_1","type":5,"block":7,"hp":400},{"name":"TFT5_Senna","disname":"U2000379_TFT5_Senna_1","type":5,"block":7,"hp":500},{"name":"TFT5_Aatrox","disname":"U2000074_TFT5_Aatrox_1","type":5,"block":8,"hp":650},{"name":"TFT5_Olaf","disname":"U2000399_TFT5_Olaf_1","type":5,"block":3,"hp":650},{"name":"TFT5_Olaf","disname":"U2000405_TFT5_Olaf_1","type":5,"block":3,"hp":650},{"name":"TFT5_Udyr","disname":"U2000179_TFT5_Udyr_1","type":5,"block":0,"hp":700},{"name":"TFT5_Gragas","disname":"U2000319_TFT5_Gragas_1","type":5,"block":2,"hp":750},{"name":"TFT5_Khazix","disname":"U2000234_TFT5_Khazix_1","type":5,"block":2,"hp":500},{"name":"TFT5_Brand","disname":"U2000531_TFT5_Brand_1","type":5,"block":3,"hp":600},{"name":"TFT5_Olaf","disname":"U2000404_TFT5_Olaf_1","type":5,"block":6,"hp":650},{"name":"TFT5_Vladimir","disname":"U2000189_TFT5_Vladimir_4","type":5,"block":7,"hp":650},{"name":"TFT5_Ziggs","disname":"U2000354_TFT5_Ziggs_2","type":5,"block":7,"hp":810},{"name":"TFT5_Kled","disname":"U2000253_TFT5_Kled_2","type":5,"block":8,"hp":400},{"name":"TFT5_Poppy","disname":"U2000276_TFT5_Poppy_4","type":5,"block":8,"hp":600},{"name":"TFT5_Udyr","disname":"U2000160_TFT5_Udyr_4","type":5,"block":5,"hp":700},{"name":"TFT5_Poppy","disname":"U2000280_TFT5_Poppy_2","type":5,"block":5,"hp":1080},{"name":"TFT5_Senna","disname":"U2000363_TFT5_Senna_4","type":5,"block":2,"hp":650},{"name":"TFT5_Sejuani","disname":"U2000592_TFT5_Sejuani_2","type":5,"block":2,"hp":750},{"name":"TFT5_Kled","disname":"U2000247_TFT5_Kled_4","type":5,"block":1,"hp":400},{"name":"TFT5_Vayne","disname":"U2000102_TFT5_Vayne_4","type":5,"block":0,"hp":500},{"name":"TFT5_Vayne","disname":"U2000104_TFT5_Vayne_2","type":5,"block":0,"hp":500},{"name":"TFT5_Khazix","disname":"U2000218_TFT5_Khazix_4","type":5,"block":3,"hp":500},{"name":"TFT5_Gragas","disname":"U2000324_TFT5_Gragas_2","type":5,"block":3,"hp":750},{"name":"TFT5_Olaf","disname":"U2000392_TFT5_Olaf_4","type":5,"block":6,"hp":650},{"name":"TFT5_Zyra","disname":"U2000847_TFT5_Zyra_2","type":5,"block":6,"hp":600},{"name":"TFT5_MissFortune","disname":"U2000931_TFT5_MissFortune_1","type":5,"block":8,"hp":700},{"name":"TFT5_Riven","disname":"U2000738_TFT5_Riven_1","type":5,"block":8,"hp":800},{"name":"TFT5_Sejuani","disname":"U2000591_TFT5_Sejuani_1","type":5,"block":5,"hp":750},{"name":"TFT5_Irelia","disname":"U2000697_TFT5_Irelia_1","type":5,"block":5,"hp":750},{"name":"TFT5_Syndra","disname":"U2000499_TFT5_Syndra_1","type":5,"block":5,"hp":600},{"name":"TFT5_Poppy","disname":"U2000278_TFT5_Poppy_1","type":5,"block":8,"hp":600},{"name":"TFT5_Sejuani","disname":"U2000586_TFT5_Sejuani_1","type":5,"block":8,"hp":750},{"name":"TFT5_Irelia","disname":"U2000713_TFT5_Irelia_1","type":5,"block":8,"hp":750},{"name":"TFT5_Udyr","disname":"U2000165_TFT5_Udyr_1","type":5,"block":0,"hp":700},{"name":"TFT5_Aatrox","disname":"U2000088_TFT5_Aatrox_1","type":5,"block":3,"hp":650}]}</t>
  </si>
  <si>
    <t>{"success":true,"code":200,"msg":"鎴愬姛","data":[{"fit":1,"name":"TFTChampion","disname":"Bablov鑺辫姳閰?,"type":3,"block":7,"hp":18},{"fit":0,"name":"TFTChampion","disname":"Jusstice涓禗iablo","type":3,"block":8,"hp":18},{"fit":0,"name":"TFTChampion","disname":"鎶借摑鐧芥矙","type":3,"block":5,"hp":20},{"fit":0,"name":"TFTChampion","disname":"pjhazsc","type":3,"block":1,"hp":14},{"fit":1,"name":"TFTChampion","disname":"Journeyming","type":3,"block":0,"hp":14},{"fit":0,"name":"TFTChampion","disname":"濂跺槾琚皝鍋蜂簡","type":3,"block":3,"hp":18},{"fit":1,"name":"TFTChampion","disname":"娆ч槼鍙斿彅","type":3,"block":6,"hp":16},{"name":"TFT5_Aatrox","disname":"U2000086_TFT5_Aatrox_1","type":5,"block":7,"hp":650},{"name":"TFT5_Gragas","disname":"U2000328_TFT5_Gragas_1","type":5,"block":7,"hp":750},{"name":"TFT5_Olaf","disname":"U2000420_TFT5_Olaf_1","type":5,"block":2,"hp":650},{"name":"TFT5_Pyke","disname":"U2000571_TFT5_Pyke_1","type":5,"block":5,"hp":650},{"name":"TFT5_Pyke","disname":"U2000562_TFT5_Pyke_1","type":5,"block":5,"hp":650},{"name":"TFT5_Olaf","disname":"U2000394_TFT5_Olaf_1","type":5,"block":2,"hp":650},{"name":"TFT5_Olaf","disname":"U2000412_TFT5_Olaf_1","type":5,"block":3,"hp":1170},{"name":"TFT5_Olaf","disname":"U2000402_TFT5_Olaf_1","type":5,"block":3,"hp":650},{"name":"TFT5_Leona","disname":"U2000134_TFT5_Leona_1","type":5,"block":2,"hp":700},{"name":"TFT5_Leona","disname":"U2000137_TFT5_Leona_1","type":5,"block":2,"hp":700},{"name":"TFT5_Pyke","disname":"U2000576_TFT5_Pyke_2","type":5,"block":2,"hp":650},{"name":"TFT5_Tristana","disname":"U2000723_TFT5_Tristana_1","type":5,"block":5,"hp":550},{"name":"TFT5_Aatrox","disname":"U2000080_TFT5_Aatrox_1","type":5,"block":3,"hp":650},{"name":"TFT5_Poppy","disname":"U2000281_TFT5_Poppy_1","type":5,"block":5,"hp":600},{"name":"TFT5_Soraka","disname":"U2000489_TFT5_Soraka_1","type":5,"block":7,"hp":550},{"name":"TFT5_Vayne","disname":"U2000112_TFT5_Vayne_1","type":5,"block":0,"hp":900},{"name":"TFT5_Kalista","disname":"U2000433_TFT5_Kalista_1","type":5,"block":2,"hp":900},{"name":"TFT5_Kled","disname":"U2000259_TFT5_Kled_4","type":5,"block":7,"hp":400},{"name":"TFT5_Poppy","disname":"U2000277_TFT5_Poppy_2","type":5,"block":7,"hp":600},{"name":"TFT5_Ziggs","disname":"U2000354_TFT5_Ziggs_5","type":5,"block":7,"hp":810},{"name":"TFT5_Sejuani","disname":"U2000591_TFT5_Sejuani_4","type":5,"block":5,"hp":750},{"name":"TFT5_Khazix","disname":"U2000234_TFT5_Khazix_3","type":5,"block":2,"hp":500},{"name":"TFT5_Sejuani","disname":"U2000585_TFT5_Sejuani_1","type":5,"block":5,"hp":750},{"name":"TFT5_Olaf","disname":"U2000415_TFT5_Olaf_1","type":5,"block":6,"hp":650},{"name":"TFT5_Leona","disname":"U2000141_TFT5_Leona_1","type":5,"block":0,"hp":700},{"name":"TFT5_Vayne","disname":"U2000117_TFT5_Vayne_1","type":5,"block":0,"hp":500},{"name":"TFT5_Gragas","disname":"U2000332_TFT5_Gragas_1","type":5,"block":3,"hp":750},{"name":"TFT5_Rakan","disname":"U2000811_TFT5_Rakan_1","type":5,"block":7,"hp":800},{"name":"TFT5_Kalista","disname":"U2000425_TFT5_Kalista_1","type":5,"block":7,"hp":500},{"name":"TFT5_Udyr","disname":"U2000173_TFT5_Udyr_1","type":5,"block":0,"hp":700},{"name":"TFT5_Khazix","disname":"U2000228_TFT5_Khazix_3","type":5,"block":7,"hp":900},{"name":"TFT5_Gragas","disname":"U2000307_TFT5_Gragas_3","type":5,"block":7,"hp":750},{"name":"TFT5_Soraka","disname":"U2000485_TFT5_Soraka_3","type":5,"block":7,"hp":550},{"name":"TFT5_Riven","disname":"U2000752_TFT5_Riven_3","type":5,"block":7,"hp":800},{"name":"TFT5_Khazix","disname":"U2000246_TFT5_Khazix_3","type":5,"block":8,"hp":900},{"name":"TFT5_Gragas","disname":"U2000320_TFT5_Gragas_2","type":5,"block":8,"hp":750},{"name":"TFT5_Irelia","disname":"U2000713_TFT5_Irelia_5","type":5,"block":8,"hp":750},{"name":"TFT5_Riven","disname":"U2000738_TFT5_Riven_5","type":5,"block":8,"hp":800},{"name":"TFT5_Kled","disname":"U2000265_TFT5_Kled_6","type":5,"block":5,"hp":720},{"name":"TFT5_Poppy","disname":"U2000280_TFT5_Poppy_7","type":5,"block":5,"hp":1080},{"name":"TFT5_Irelia","disname":"U2000710_TFT5_Irelia_3","type":5,"block":5,"hp":1350},{"name":"TFT5_Rakan","disname":"U2000819_TFT5_Rakan_3","type":5,"block":5,"hp":800},{"name":"TFT5_Vladimir","disname":"U2000196_TFT5_Vladimir_2","type":5,"block":2,"hp":650},{"name":"TFT5_Gragas","disname":"U2000319_TFT5_Gragas_5","type":5,"block":2,"hp":1750},{"name":"TFT5_Soraka","disname":"U2000492_TFT5_Soraka_2","type":5,"block":2,"hp":550},{"name":"TFT5_Sejuani","disname":"U2000592_TFT5_Sejuani_6","type":5,"block":2,"hp":1150},{"name":"TFT5_Kled","disname":"U2000247_TFT5_Kled_10","type":5,"block":1,"hp":400},{"name":"TFT5_Vayne","disname":"U2000102_TFT5_Vayne_9","type":5,"block":0,"hp":900},{"name":"TFT5_Leona","disname":"U2000136_TFT5_Leona_3","type":5,"block":0,"hp":700},{"name":"TFT5_Udyr","disname":"U2000165_TFT5_Udyr_6","type":5,"block":0,"hp":1260},{"name":"TFT5_Thresh","disname":"U2000658_TFT5_Thresh_6","type":5,"block":0,"hp":800},{"name":"TFT5_Aatrox","disname":"U2000089_TFT5_Aatrox_5","type":5,"block":3,"hp":1170},{"name":"TFT5_Khazix","disname":"U2000218_TFT5_Khazix_8","type":5,"block":3,"hp":900},{"name":"TFT5_Gragas","disname":"U2000324_TFT5_Gragas_6","type":5,"block":3,"hp":1350},{"name":"TFT5_Kalista","disname":"U2000449_TFT5_Kalista_2","type":5,"block":3,"hp":500},{"name":"TFT5_Olaf","disname":"U2000392_TFT5_Olaf_7","type":5,"block":6,"hp":1170},{"name":"TFT5_Syndra","disname":"U2000495_TFT5_Syndra_3","type":5,"block":6,"hp":1080},{"name":"TFT5_Ashe","disname":"U2000838_TFT5_Ashe_2","type":5,"block":6,"hp":600},{"name":"TFT5_Nidalee","disname":"U2000889_TFT5_Nidalee_2","type":5,"block":6,"hp":800}]}</t>
  </si>
  <si>
    <t>{"success":true,"code":200,"msg":"鎴愬姛","data":["TFT5_Khazix","TFT5_Hecarim","TFT5_MissFortune","TFT5_Leona","TFT5_LeeSin"]}</t>
  </si>
  <si>
    <t>{"success":true,"code":200,"msg":"鎴愬姛","data":[{"isme":true,"zt":5,"fit":0,"name":"TFTChampion","disname":"AlphaChess","type":3,"block":2,"hp":8},{"fit":2,"name":"TFTChampion","disname":"Bablov鑺辫姳閰?,"type":3,"block":7,"hp":10},{"fit":0,"name":"TFTChampion","disname":"Jusstice涓禗iablo","type":3,"block":8,"hp":16},{"fit":0,"name":"TFTChampion","disname":"鎶借摑鐧芥矙","type":3,"block":5,"hp":16},{"fit":0,"name":"TFTChampion","disname":"pjhazsc","type":3,"block":1,"hp":0},{"fit":2,"name":"TFTChampion","disname":"Journeyming","type":3,"block":0,"hp":10},{"fit":1,"name":"TFTChampion","disname":"濂跺槾琚皝鍋蜂簡","type":3,"block":3,"hp":18},{"fit":1,"name":"TFTChampion","disname":"娆ч槼鍙斿彅","type":3,"block":6,"hp":14},{"name":"TFT5_Pyke","disname":"U2000571_TFT5_Pyke_1","type":5,"block":5,"hp":650},{"name":"TFT5_Poppy","disname":"U2000281_TFT5_Poppy_1","type":5,"block":5,"hp":1080},{"name":"TFT5_Vayne","disname":"U2000112_TFT5_Vayne_1","type":5,"block":0,"hp":900},{"name":"TFT5_Khazix","disname":"U2000234_TFT5_Khazix_3","type":5,"block":2,"hp":500},{"name":"TFT5_Olaf","disname":"U2000415_TFT5_Olaf_1","type":5,"block":6,"hp":650},{"name":"TFT5_Vayne","disname":"U2000117_TFT5_Vayne_1","type":5,"block":0,"hp":500},{"name":"TFT5_Gragas","disname":"U2000332_TFT5_Gragas_1","type":5,"block":3,"hp":750},{"name":"TFT5_Gragas","disname":"U2000333_TFT5_Gragas_1","type":5,"block":3,"hp":750},{"name":"TFT5_Khazix","disname":"U2000232_TFT5_Khazix_1","type":5,"block":8,"hp":500},{"name":"TFT5_Lux","disname":"U2000794_TFT5_Lux_1","type":5,"block":2,"hp":1080},{"name":"TFT5_Khazix","disname":"U2000229_TFT5_Khazix_1","type":5,"block":2,"hp":500},{"name":"TFT5_Vladimir","disname":"U2000196_TFT5_Vladimir_3","type":5,"block":2,"hp":650},{"name":"TFT5_Soraka","disname":"U2000492_TFT5_Soraka_3","type":5,"block":2,"hp":550},{"name":"TFT5_Nautilus","disname":"U2000646_TFT5_Nautilus_1","type":5,"block":8,"hp":1350},{"name":"TFT5_Khazix","disname":"U2000221_TFT5_Khazix_1","type":5,"block":8,"hp":500},{"name":"TFT5_Khazix","disname":"U2000220_TFT5_Khazix_1","type":5,"block":3,"hp":500},{"name":"TFT5_Gragas","disname":"U2000319_TFT5_Gragas_7","type":5,"block":2,"hp":1350},{"name":"TFT5_Kled","disname":"U2000269_TFT5_Kled_1","type":5,"block":5,"hp":400},{"name":"TFT5_Irelia","disname":"U2000712_TFT5_Irelia_1","type":5,"block":8,"hp":750},{"name":"TFT5_Gragas","disname":"U2000320_TFT5_Gragas_3","type":5,"block":7,"hp":750},{"name":"TFT5_Riven","disname":"U2000748_TFT5_Riven_1","type":5,"block":8,"hp":800},{"name":"TFT5_Kalista","disname":"U2000442_TFT5_Kalista_1","type":5,"block":3,"hp":500},{"name":"TFT5_Tristana","disname":"U2000734_TFT5_Tristana_1","type":5,"block":8,"hp":550},{"name":"TFT5_Khazix","disname":"U2000237_TFT5_Khazix_2","type":5,"block":7,"hp":500},{"name":"TFT5_Khazix","disname":"U2000236_TFT5_Khazix_1","type":5,"block":3,"hp":500},{"name":"TFT5_Khazix","disname":"U2000222_TFT5_Khazix_2","type":5,"block":7,"hp":500},{"name":"TFT5_Ashe","disname":"U2000828_TFT5_Ashe_1","type":5,"block":0,"hp":1080},{"name":"TFT5_Soraka","disname":"U2000475_TFT5_Soraka_1","type":5,"block":7,"hp":990},{"name":"TFT5_Syndra","disname":"U2000500_TFT5_Syndra_1","type":5,"block":0,"hp":600},{"name":"TFT5_Olaf","disname":"U2000397_TFT5_Olaf_1","type":5,"block":3,"hp":1170},{"name":"TFT5_Aatrox","disname":"U2000077_TFT5_Aatrox_1","type":5,"block":3,"hp":650},{"name":"TFT5_Rakan","disname":"U2000814_TFT5_Rakan_1","type":5,"block":6,"hp":800},{"name":"TFT5_Vladimir","disname":"U2000203_TFT5_Vladimir_1","type":5,"block":6,"hp":650},{"name":"TFT5_Ashe","disname":"U2000840_TFT5_Ashe_1","type":5,"block":0,"hp":1080},{"name":"TFT5_Karma","disname":"U2000974_TFT5_Karma_1","type":5,"block":3,"hp":700},{"name":"TFT5_Sejuani","disname":"U2000592_TFT5_Sejuani_9","type":5,"block":2,"hp":750},{"name":"TFT5_Nunu","disname":"U2000878_TFT5_Nunu_1","type":5,"block":6,"hp":900},{"name":"TFT5_Nautilus","disname":"U2000636_TFT5_Nautilus_1","type":5,"block":8,"hp":750},{"name":"TFT5_Rakan","disname":"U2000825_TFT5_Rakan_2","type":5,"block":6,"hp":800},{"name":"TFT5_Varus","disname":"U2000468_TFT5_Varus_1","type":5,"block":0,"hp":600},{"name":"TFT5_Rakan","disname":"U2000827_TFT5_Rakan_1","type":5,"block":5,"hp":800},{"name":"TFT5_Gragas","disname":"U2000315_TFT5_Gragas_1","type":5,"block":7,"hp":750},{"name":"TFT5_Irelia","disname":"U2000703_TFT5_Irelia_1","type":5,"block":5,"hp":750},{"name":"TFT5_Nidalee","disname":"U2000886_TFT5_Nidalee_1","type":5,"block":7,"hp":800},{"name":"TFT5_Ivern","disname":"U2001039_TFT5_Ivern_1","type":5,"block":7,"hp":950},{"name":"TFT5_Leona","disname":"U2000133_TFT5_Leona_1","type":5,"block":5,"hp":700},{"name":"TFT5_Khazix","disname":"U2000228_TFT5_Khazix_11","type":5,"block":7,"hp":900},{"name":"TFT5_Gragas","disname":"U2000307_TFT5_Gragas_11","type":5,"block":7,"hp":1350},{"name":"TFT5_Ziggs","disname":"U2000354_TFT5_Ziggs_11","type":5,"block":7,"hp":810},{"name":"TFT5_Soraka","disname":"U2000485_TFT5_Soraka_11","type":5,"block":7,"hp":990},{"name":"TFT5_Irelia","disname":"U2000701_TFT5_Irelia_4","type":5,"block":7,"hp":750},{"name":"TFT5_Riven","disname":"U2000752_TFT5_Riven_11","type":5,"block":7,"hp":800},{"name":"TFT5_Khazix","disname":"U2000246_TFT5_Khazix_10","type":5,"block":8,"hp":900},{"name":"TFT5_Kennen","disname":"U2000611_TFT5_Kennen_3","type":5,"block":8,"hp":600},{"name":"TFT5_Irelia","disname":"U2000713_TFT5_Irelia_12","type":5,"block":8,"hp":750},{"name":"TFT5_Tristana","disname":"U2000732_TFT5_Tristana_8","type":5,"block":8,"hp":990},{"name":"TFT5_Riven","disname":"U2000738_TFT5_Riven_12","type":5,"block":8,"hp":800},{"name":"TFT5_Nocturne","disname":"U2000943_TFT5_Nocturne_5","type":5,"block":8,"hp":1170},{"name":"TFT5_Poppy","disname":"U2000280_TFT5_Poppy_13","type":5,"block":5,"hp":1080},{"name":"TFT5_Pyke","disname":"U2000562_TFT5_Pyke_6","type":5,"block":5,"hp":650},{"name":"TFT5_Irelia","disname":"U2000710_TFT5_Irelia_9","type":5,"block":5,"hp":1350},{"name":"TFT5_Tristana","disname":"U2000723_TFT5_Tristana_3","type":5,"block":5,"hp":990},{"name":"TFT5_Rakan","disname":"U2000819_TFT5_Rakan_8","type":5,"block":5,"hp":800},{"name":"TFT5_Velkoz","disname":"U2001005_TFT5_Velkoz_2","type":5,"block":5,"hp":700},{"name":"TFT5_Leona","disname":"U2000134_TFT5_Leona_2","type":5,"block":2,"hp":1260},{"name":"TFT5_Udyr","disname":"U2000177_TFT5_Udyr_6","type":5,"block":2,"hp":700},{"name":"TFT5_Olaf","disname":"U2000420_TFT5_Olaf_6","type":5,"block":2,"hp":1170},{"name":"TFT5_Kalista","disname":"U2000433_TFT5_Kalista_6","type":5,"block":2,"hp":900},{"name":"TFT5_Pyke","disname":"U2000576_TFT5_Pyke_6","type":5,"block":2,"hp":650},{"name":"TFT5_Irelia","disname":"U2000700_TFT5_Irelia_5","type":5,"block":2,"hp":1350},{"name":"TFT5_Vayne","disname":"U2000102_TFT5_Vayne_15","type":5,"block":0,"hp":900},{"name":"TFT5_Leona","disname":"U2000136_TFT5_Leona_9","type":5,"block":0,"hp":700},{"name":"TFT5_Udyr","disname":"U2000165_TFT5_Udyr_11","type":5,"block":0,"hp":1260},{"name":"TFT5_Varus","disname":"U2000472_TFT5_Varus_5","type":5,"block":0,"hp":1080},{"name":"TFT5_Syndra","disname":"U2000514_TFT5_Syndra_4","type":5,"block":0,"hp":600},{"name":"TFT5_Thresh","disname":"U2000658_TFT5_Thresh_12","type":5,"block":0,"hp":1440},{"name":"TFT5_Aatrox","disname":"U2000089_TFT5_Aatrox_12","type":5,"block":3,"hp":1170},{"name":"TFT5_Khazix","disname":"U2000218_TFT5_Khazix_15","type":5,"block":3,"hp":900},{"name":"TFT5_Gragas","disname":"U2000324_TFT5_Gragas_13","type":5,"block":3,"hp":1350},{"name":"TFT5_Olaf","disname":"U2000412_TFT5_Olaf_4","type":5,"block":3,"hp":1170},{"name":"TFT5_Kalista","disname":"U2000449_TFT5_Kalista_9","type":5,"block":3,"hp":500},{"name":"TFT5_Nidalee","disname":"U2000887_TFT5_Nidalee_6","type":5,"block":3,"hp":800},{"name":"TFT5_Olaf","disname":"U2000392_TFT5_Olaf_12","type":5,"block":6,"hp":1170},{"name":"TFT5_Syndra","disname":"U2000495_TFT5_Syndra_8","type":5,"block":6,"hp":1230},{"name":"TFT5_Riven","disname":"U2000750_TFT5_Riven_4","type":5,"block":6,"hp":1440},{"name":"TFT5_Nunu","disname":"U2000866_TFT5_Nunu_4","type":5,"block":6,"hp":900},{"name":"TFT5_Nidalee","disname":"U2000889_TFT5_Nidalee_6","type":5,"block":6,"hp":800},{"name":"TFT5_Fiddlesticks","disname":"U2001070_TFT5_Fiddlesticks_5","type":5,"block":6,"hp":800},{"name":"TFT5_Ashe","disname":"U2000845_TFT5_Ashe_1","type":5,"block":0,"hp":600},{"name":"TFT5_Nautilus","disname":"U2000648_TFT5_Nautilus_1","type":5,"block":8,"hp":750},{"name":"TFT5_Olaf","disname":"U2000395_TFT5_Olaf_1","type":5,"block":3,"hp":650},{"name":"TFT5_Velkoz","disname":"U2001006_TFT5_Velkoz_1","type":5,"block":7,"hp":700},{"name":"TFT5_Rell","disname":"U2000999_TFT5_Rell_1","type":5,"block":2,"hp":900},{"name":"TFT5_Yasuo","disname":"U2000904_TFT5_Yasuo_1","type":5,"block":8,"hp":800}]}</t>
  </si>
  <si>
    <t>{"success":true,"code":200,"msg":"鎴愬姛","data":[{"fit":0,"name":"TFTChampion","disname":"鍚戞棩钁靛す蹇冮ゼ","type":3,"block":7,"hp":20},{"fit":0,"name":"TFTChampion","disname":"kellyJC","type":3,"block":8,"hp":20},{"fit":0,"name":"TFTChampion","disname":"娆ч槼鍙斿彅","type":3,"block":5,"hp":20},{"fit":0,"name":"TFTChampion","disname":"mznamu","type":3,"block":2,"hp":20},{"fit":0,"name":"TFTChampion","disname":"鍙斿彅缁欎綘妫掓绯?,"type":3,"block":1,"hp":20},{"fit":0,"name":"TFTChampion","disname":"鏈ㄤ辅鏄?,"type":3,"block":3,"hp":20},{"fit":0,"name":"TFTChampion","disname":"ariatvxq","type":3,"block":6,"hp":20},{"name":"TFT5_Poppy","disname":"U2000276_TFT5_Poppy_2","type":5,"block":7,"hp":600},{"name":"TFT5_Vladimir","disname":"U2000189_TFT5_Vladimir_2","type":5,"block":8,"hp":650},{"name":"TFT5_Kalista","disname":"U2000421_TFT5_Kalista_2","type":5,"block":5,"hp":500},{"name":"TFT5_Olaf","disname":"U2000392_TFT5_Olaf_2","type":5,"block":2,"hp":800},{"name":"TFT5_Udyr","disname":"U2000160_TFT5_Udyr_2","type":5,"block":1,"hp":700},{"name":"TFT5_Vayne","disname":"U2000102_TFT5_Vayne_2","type":5,"block":0,"hp":500},{"name":"TFT5_Khazix","disname":"U2000218_TFT5_Khazix_2","type":5,"block":3,"hp":500},{"name":"TFT5_Kled","disname":"U2000247_TFT5_Kled_2","type":5,"block":6,"hp":400}]}</t>
  </si>
  <si>
    <t>{"success":true,"code":200,"msg":"鎴愬姛","data":[{"fit":0,"name":"TFTChampion","disname":"鍚戞棩钁靛す蹇冮ゼ","type":3,"block":7,"hp":20},{"fit":0,"name":"TFTChampion","disname":"kellyJC","type":3,"block":8,"hp":20},{"fit":0,"name":"TFTChampion","disname":"娆ч槼鍙斿彅","type":3,"block":5,"hp":20},{"fit":0,"name":"TFTChampion","disname":"mznamu","type":3,"block":2,"hp":20},{"fit":0,"name":"TFTChampion","disname":"鍙斿彅缁欎綘妫掓绯?,"type":3,"block":1,"hp":20},{"fit":0,"name":"TFTChampion","disname":"鏈ㄤ辅鏄?,"type":3,"block":3,"hp":20},{"fit":0,"name":"TFTChampion","disname":"ariatvxq","type":3,"block":6,"hp":20},{"name":"TFT5_Leona","disname":"U2000157_TFT5_Leona_1","type":5,"block":6,"hp":700},{"name":"TFT5_Ziggs","disname":"U2000339_TFT5_Ziggs_1","type":5,"block":6,"hp":450},{"name":"TFT5_Ziggs","disname":"U2000346_TFT5_Ziggs_1","type":5,"block":6,"hp":450},{"name":"TFT5_Riven","disname":"U2000752_TFT5_Riven_1","type":5,"block":8,"hp":800},{"name":"TFT5_Sett","disname":"U2000680_TFT5_Sett_1","type":5,"block":8,"hp":800},{"name":"TFT5_Poppy","disname":"U2000276_TFT5_Poppy_3","type":5,"block":7,"hp":600},{"name":"TFT5_Vladimir","disname":"U2000189_TFT5_Vladimir_3","type":5,"block":8,"hp":650},{"name":"TFT5_Kalista","disname":"U2000421_TFT5_Kalista_3","type":5,"block":5,"hp":500},{"name":"TFT5_Olaf","disname":"U2000392_TFT5_Olaf_3","type":5,"block":2,"hp":800},{"name":"TFT5_Udyr","disname":"U2000160_TFT5_Udyr_3","type":5,"block":1,"hp":700},{"name":"TFT5_Vayne","disname":"U2000102_TFT5_Vayne_3","type":5,"block":0,"hp":500},{"name":"TFT5_Khazix","disname":"U2000218_TFT5_Khazix_3","type":5,"block":3,"hp":500},{"name":"TFT5_Kled","disname":"U2000247_TFT5_Kled_3","type":5,"block":6,"hp":400},{"name":"TFT5_Nidalee","disname":"U2000897_TFT5_Nidalee_1","type":5,"block":8,"hp":800},{"name":"TFT5_Ziggs","disname":"U2000335_TFT5_Ziggs_1","type":5,"block":7,"hp":450},{"name":"TFT5_Olaf","disname":"U2000397_TFT5_Olaf_1","type":5,"block":2,"hp":650},{"name":"TFT5_Ziggs","disname":"U2000337_TFT5_Ziggs_1","type":5,"block":7,"hp":450},{"name":"TFT5_Vayne","disname":"U2000118_TFT5_Vayne_1","type":5,"block":1,"hp":500},{"name":"TFT5_Poppy","disname":"U2000290_TFT5_Poppy_1","type":5,"block":7,"hp":600},{"name":"TFT5_Ziggs","disname":"U2000341_TFT5_Ziggs_1","type":5,"block":1,"hp":450},{"name":"TFT5_Aatrox","disname":"U2000092_TFT5_Aatrox_1","type":5,"block":1,"hp":650}]}</t>
  </si>
  <si>
    <t>{"success":true,"code":200,"msg":"鎴愬姛","data":["TFT5_Irelia","TFT5_Ashe","TFT5_Olaf","TFT5_Senna","TFT5_Lux"]}</t>
  </si>
  <si>
    <t>{"success":true,"code":200,"msg":"鎴愬姛","data":[{"isme":true,"zt":5,"fit":0,"name":"TFTChampion","disname":"AlphaChess","type":3,"block":0,"hp":14},{"fit":1,"name":"TFTChampion","disname":"鍚戞棩钁靛す蹇冮ゼ","type":3,"block":7,"hp":6},{"fit":1,"name":"TFTChampion","disname":"kellyJC","type":3,"block":8,"hp":5},{"fit":0,"name":"TFTChampion","disname":"娆ч槼鍙斿彅","type":3,"block":5,"hp":8},{"fit":1,"name":"TFTChampion","disname":"mznamu","type":3,"block":2,"hp":10},{"fit":2,"name":"TFTChampion","disname":"鍙斿彅缁欎綘妫掓绯?,"type":3,"block":1,"hp":8},{"fit":2,"name":"TFTChampion","disname":"鏈ㄤ辅鏄?,"type":3,"block":3,"hp":0},{"fit":2,"name":"TFTChampion","disname":"ariatvxq","type":3,"block":6,"hp":0},{"name":"TFT5_Gragas","disname":"U2000331_TFT5_Gragas_2","type":5,"block":0,"hp":750},{"name":"TFT5_Ziggs","disname":"U2000359_TFT5_Ziggs_1","type":5,"block":7,"hp":810},{"name":"TFT5_Leona","disname":"U2000149_TFT5_Leona_1","type":5,"block":0,"hp":700},{"name":"TFT5_Pyke","disname":"U2000579_TFT5_Pyke_1","type":5,"block":8,"hp":650},{"name":"TFT5_Sett","disname":"U2000691_TFT5_Sett_1","type":5,"block":8,"hp":800},{"name":"TFT5_Velkoz","disname":"U2001005_TFT5_Velkoz_1","type":5,"block":5,"hp":700},{"name":"TFT5_Irelia","disname":"U2000702_TFT5_Irelia_1","type":5,"block":1,"hp":1350},{"name":"TFT5_Kennen","disname":"U2000606_TFT5_Kennen_1","type":5,"block":1,"hp":1080},{"name":"TFT5_Thresh","disname":"U2000653_TFT5_Thresh_2","type":5,"block":0,"hp":800},{"name":"TFT5_Ziggs","disname":"U2000355_TFT5_Ziggs_1","type":5,"block":7,"hp":450},{"name":"TFT5_Ziggs","disname":"U2000351_TFT5_Ziggs_1","type":5,"block":7,"hp":450},{"name":"TFT5_Kalista","disname":"U2000424_TFT5_Kalista_2","type":5,"block":1,"hp":500},{"name":"TFT5_Riven","disname":"U2000741_TFT5_Riven_2","type":5,"block":5,"hp":1440},{"name":"TFT5_Irelia","disname":"U2000700_TFT5_Irelia_9","type":5,"block":2,"hp":750},{"name":"TFT5_Irelia","disname":"U2000714_TFT5_Irelia_1","type":5,"block":7,"hp":750},{"name":"TFT5_Diana","disname":"U2001025_TFT5_Diana_1","type":5,"block":8,"hp":750},{"name":"TFT5_Nocturne","disname":"U2000939_TFT5_Nocturne_1","type":5,"block":8,"hp":650},{"name":"TFT5_Ashe","disname":"U2000833_TFT5_Ashe_1","type":5,"block":0,"hp":600},{"name":"TFT5_LeeSin","disname":"U2000760_TFT5_LeeSin_7","type":5,"block":1,"hp":800},{"name":"TFT5_Syndra","disname":"U2000498_TFT5_Syndra_5","type":5,"block":0,"hp":600},{"name":"TFT5_Ivern","disname":"U2001045_TFT5_Ivern_1","type":5,"block":2,"hp":950},{"name":"TFT5_Draven","disname":"U2001083_TFT5_Draven_1","type":5,"block":1,"hp":700},{"name":"TFT5_Galio","disname":"U2001031_TFT5_Galio_1","type":5,"block":0,"hp":1000},{"name":"TFT5_Fiddlesticks","disname":"U2001071_TFT5_Fiddlesticks_1","type":5,"block":8,"hp":800},{"name":"TFT5_Galio","disname":"U2001034_TFT5_Galio_1","type":5,"block":5,"hp":1000},{"name":"TFT5_Kennen","disname":"U2000626_TFT5_Kennen_1","type":5,"block":1,"hp":600},{"name":"TFT5_Draven","disname":"U2001081_TFT5_Draven_1","type":5,"block":8,"hp":700},{"name":"TFT5_Diana","disname":"U2001023_TFT5_Diana_1","type":5,"block":5,"hp":1350},{"name":"TFT5_Kennen","disname":"U2000612_TFT5_Kennen_1","type":5,"block":7,"hp":1080},{"name":"TFT5_Nautilus","disname":"U2000627_TFT5_Nautilus_2","type":5,"block":5,"hp":750},{"name":"TFT5_Ashe","disname":"U2000829_TFT5_Ashe_6","type":5,"block":0,"hp":600},{"name":"TFT5_Yasuo","disname":"U2000903_TFT5_Yasuo_5","type":5,"block":0,"hp":800},{"name":"TFT5_Rell","disname":"U2000997_TFT5_Rell_1","type":5,"block":8,"hp":1620},{"name":"TFT5_Yasuo","disname":"U2000917_TFT5_Yasuo_1","type":5,"block":1,"hp":800},{"name":"TFT5_Tristana","disname":"U2000726_TFT5_Tristana_1","type":5,"block":7,"hp":550},{"name":"TFT5_Velkoz","disname":"U2001004_TFT5_Velkoz_1","type":5,"block":2,"hp":700},{"name":"TFT5_Kennen","disname":"U2000609_TFT5_Kennen_1","type":5,"block":1,"hp":600},{"name":"TFT5_Lulu","disname":"U2000778_TFT5_Lulu_1","type":5,"block":0,"hp":650},{"name":"TFT5_MissFortune","disname":"U2000931_TFT5_MissFortune_1","type":5,"block":1,"hp":700},{"name":"TFT5_Olaf","disname":"U2000409_TFT5_Olaf_1","type":5,"block":5,"hp":650},{"name":"TFT5_Kled","disname":"U2000274_TFT5_Kled_18","type":5,"block":7,"hp":720},{"name":"TFT5_Poppy","disname":"U2000290_TFT5_Poppy_18","type":5,"block":7,"hp":1080},{"name":"TFT5_Ziggs","disname":"U2000335_TFT5_Ziggs_19","type":5,"block":7,"hp":810},{"name":"TFT5_Kennen","disname":"U2000622_TFT5_Kennen_14","type":5,"block":7,"hp":1080},{"name":"TFT5_Tristana","disname":"U2000716_TFT5_Tristana_14","type":5,"block":7,"hp":990},{"name":"TFT5_Lulu","disname":"U2000786_TFT5_Lulu_5","type":5,"block":7,"hp":1170},{"name":"TFT5_Lucian","disname":"U2000984_TFT5_Lucian_5","type":5,"block":7,"hp":1260},{"name":"TFT5_Ivern","disname":"U2001041_TFT5_Ivern_2","type":5,"block":7,"hp":1100},{"name":"TFT5_Udyr","disname":"U2000184_TFT5_Udyr_12","type":5,"block":8,"hp":1260},{"name":"TFT5_Poppy","disname":"U2000291_TFT5_Poppy_14","type":5,"block":8,"hp":1080},{"name":"TFT5_Gragas","disname":"U2000309_TFT5_Gragas_18","type":5,"block":8,"hp":2500},{"name":"TFT5_Ashe","disname":"U2000845_TFT5_Ashe_2","type":5,"block":8,"hp":1080},{"name":"TFT5_Nocturne","disname":"U2000945_TFT5_Nocturne_11","type":5,"block":8,"hp":1170},{"name":"TFT5_Lucian","disname":"U2000980_TFT5_Lucian_4","type":5,"block":8,"hp":700},{"name":"TFT5_Teemo","disname":"U2001099_TFT5_Teemo_3","type":5,"block":8,"hp":800},{"name":"TFT5_Khazix","disname":"U2000238_TFT5_Khazix_14","type":5,"block":5,"hp":900},{"name":"TFT5_Olaf","disname":"U2000419_TFT5_Olaf_18","type":5,"block":5,"hp":2170},{"name":"TFT5_Kalista","disname":"U2000421_TFT5_Kalista_24","type":5,"block":5,"hp":1050},{"name":"TFT5_Tristana","disname":"U2000718_TFT5_Tristana_18","type":5,"block":5,"hp":1140},{"name":"TFT5_Rakan","disname":"U2000815_TFT5_Rakan_13","type":5,"block":5,"hp":1440},{"name":"TFT5_Nidalee","disname":"U2000888_TFT5_Nidalee_9","type":5,"block":5,"hp":800},{"name":"TFT5_Nocturne","disname":"U2000946_TFT5_Nocturne_8","type":5,"block":5,"hp":1170},{"name":"TFT5_Galio","disname":"U2001036_TFT5_Galio_2","type":5,"block":5,"hp":1000},{"name":"TFT5_Senna","disname":"U2000377_TFT5_Senna_17","type":5,"block":2,"hp":900},{"name":"TFT5_Olaf","disname":"U2000397_TFT5_Olaf_18","type":5,"block":2,"hp":4106},{"name":"TFT5_Irelia","disname":"U2000713_TFT5_Irelia_5","type":5,"block":2,"hp":750},{"name":"TFT5_Tristana","disname":"U2000721_TFT5_Tristana_12","type":5,"block":2,"hp":990},{"name":"TFT5_Rakan","disname":"U2000826_TFT5_Rakan_17","type":5,"block":2,"hp":1440},{"name":"TFT5_Velkoz","disname":"U2001006_TFT5_Velkoz_10","type":5,"block":2,"hp":700},{"name":"TFT5_Galio","disname":"U2001030_TFT5_Galio_7","type":5,"block":2,"hp":1000},{"name":"TFT5_Ivern","disname":"U2001040_TFT5_Ivern_2","type":5,"block":2,"hp":950},{"name":"TFT5_Kalista","disname":"U2000426_TFT5_Kalista_11","type":5,"block":1,"hp":900},{"name":"TFT5_Kennen","disname":"U2000614_TFT5_Kennen_11","type":5,"block":1,"hp":1080},{"name":"TFT5_Irelia","disname":"U2000703_TFT5_Irelia_15","type":5,"block":1,"hp":1350},{"name":"TFT5_Riven","disname":"U2000753_TFT5_Riven_14","type":5,"block":1,"hp":1590},{"name":"TFT5_Yasuo","disname":"U2000902_TFT5_Yasuo_13","type":5,"block":1,"hp":1440},{"name":"TFT5_Jax","disname":"U2000962_TFT5_Jax_2","type":5,"block":1,"hp":1000},{"name":"TFT5_Draven","disname":"U2001077_TFT5_Draven_6","type":5,"block":1,"hp":700},{"name":"TFT5_Kayle","disname":"U2001140_TFT5_Kayle_6","type":5,"block":1,"hp":800},{"name":"TFT5_Aatrox","disname":"U2000097_TFT5_Aatrox_6","type":5,"block":0,"hp":1170},{"name":"TFT5_Leona","disname":"U2000140_TFT5_Leona_14","type":5,"block":0,"hp":1560},{"name":"TFT5_Varus","disname":"U2000457_TFT5_Varus_13","type":5,"block":0,"hp":1080},{"name":"TFT5_Hecarim","disname":"U2000553_TFT5_Hecarim_10","type":5,"block":0,"hp":1350},{"name":"TFT5_Sejuani","disname":"U2000602_TFT5_Sejuani_2","type":5,"block":0,"hp":750},{"name":"TFT5_Thresh","disname":"U2000652_TFT5_Thresh_10","type":5,"block":0,"hp":1440},{"name":"TFT5_Rell","disname":"U2000996_TFT5_Rell_2","type":5,"block":0,"hp":900},{"name":"TFT5_Aphelios","disname":"U2001056_TFT5_Aphelios_2","type":5,"block":0,"hp":650},{"name":"TFT5_LeeSin","disname":"U2000759_TFT5_LeeSin_1","type":5,"block":7,"hp":800},{"name":"TFT5_Viego","disname":"U2001094_TFT5_Viego_1","type":5,"block":8,"hp":1000},{"name":"TFT5_Akshan","disname":"U2001149_TFT5_Akshan_1","type":5,"block":8,"hp":850},{"name":"TFT5_Syndra","disname":"U2000507_TFT5_Syndra_1","type":5,"block":5,"hp":1080},{"name":"TFT5_Jax","disname":"U2000956_TFT5_Jax_1","type":5,"block":5,"hp":1000},{"name":"TFT5_Tristana","disname":"U2000717_TFT5_Tristana_1","type":5,"block":2,"hp":990}]}</t>
  </si>
  <si>
    <t>{"success":true,"code":200,"msg":"鎴愬姛","data":["TFT5_Khazix","TFT5_Kled","TFT5_Leona","TFT5_Khazix","TFT5_Vayne"]}</t>
  </si>
  <si>
    <t>{"success":true,"code":200,"msg":"鎴愬姛","data":[{"isme":true,"zt":5,"fit":0,"name":"TFTChampion","disname":"AlphaChess","type":3,"block":0,"hp":100},{"fit":0,"name":"TFTChampion","disname":"閭伓鐨勬墜鏈垁","type":3,"block":7,"hp":100},{"fit":0,"name":"TFTChampion","disname":"鍒嗘墜涓€蹇箰","type":3,"block":8,"hp":100},{"fit":0,"name":"TFTChampion","disname":"婊℃灂姊︽槦娌?,"type":3,"block":5,"hp":100},{"fit":0,"name":"TFTChampion","disname":"浼熷ぇ鐖峰ソ妫?,"type":3,"block":2,"hp":100},{"fit":0,"name":"TFTChampion","disname":"Hexagonal涓秝ings","type":3,"block":1,"hp":100},{"fit":0,"name":"TFTChampion","disname":"瀹樺鍥芥湇绗竴鐨庢湀","type":3,"block":3,"hp":100},{"fit":0,"name":"TFTChampion","disname":"鎬庢牱鎵嶈兘璁╀綘璁颁綇","type":3,"block":6,"hp":100},{"name":"TFT5_Udyr","disname":"U2000160_TFT5_Udyr_2","type":5,"block":7,"hp":700},{"name":"TFT5_Kled","disname":"U2000247_TFT5_Kled_2","type":5,"block":8,"hp":400},{"name":"TFT5_Senna","disname":"U2000363_TFT5_Senna_2","type":5,"block":5,"hp":650},{"name":"TFT5_Leona","disname":"U2000131_TFT5_Leona_2","type":5,"block":2,"hp":700},{"name":"TFT5_Vladimir","disname":"U2000189_TFT5_Vladimir_2","type":5,"block":1,"hp":650},{"name":"TFT5_Poppy","disname":"U2000276_TFT5_Poppy_2","type":5,"block":0,"hp":600},{"name":"TFT5_Olaf","disname":"U2000392_TFT5_Olaf_2","type":5,"block":3,"hp":650},{"name":"TFT5_Gragas","disname":"U2000305_TFT5_Gragas_2","type":5,"block":6,"hp":750}]}</t>
  </si>
  <si>
    <t>{"success":true,"code":200,"msg":"鎴愬姛","data":[{"fit":0,"name":"TFTChampion","disname":"YY鎯充釜鍚嶅瓧","type":3,"block":7,"hp":100},{"fit":0,"name":"TFTChampion","disname":"sky蹇愬繎","type":3,"block":8,"hp":100},{"fit":0,"name":"TFTChampion","disname":"On1y涓禞ing","type":3,"block":5,"hp":100},{"fit":0,"name":"TFTChampion","disname":"鎼為敊鐢ㄦ硶","type":3,"block":2,"hp":100},{"fit":0,"name":"TFTChampion","disname":"鏉€瀹充綘鐨勯浄绁?,"type":3,"block":0,"hp":100},{"fit":0,"name":"TFTChampion","disname":"Apologize涓跺己鍝?,"type":3,"block":3,"hp":100},{"fit":0,"name":"TFTChampion","disname":"绱埍寰湀","type":3,"block":6,"hp":100},{"name":"TFT5_Poppy","disname":"U2000276_TFT5_Poppy_2","type":5,"block":7,"hp":600},{"name":"TFT5_Gragas","disname":"U2000305_TFT5_Gragas_2","type":5,"block":8,"hp":750},{"name":"TFT5_Udyr","disname":"U2000160_TFT5_Udyr_2","type":5,"block":5,"hp":700},{"name":"TFT5_Leona","disname":"U2000131_TFT5_Leona_2","type":5,"block":2,"hp":700},{"name":"TFT5_Vladimir","disname":"U2000189_TFT5_Vladimir_2","type":5,"block":1,"hp":650},{"name":"TFT5_Vayne","disname":"U2000102_TFT5_Vayne_2","type":5,"block":0,"hp":500},{"name":"TFT5_Aatrox","disname":"U2000073_TFT5_Aatrox_2","type":5,"block":3,"hp":650},{"name":"TFT5_Kalista","disname":"U2000421_TFT5_Kalista_2","type":5,"block":6,"hp":500}]}</t>
  </si>
  <si>
    <t>{"success":true,"code":200,"msg":"鎴愬姛","data":[{"fit":0,"name":"TFTChampion","disname":"鐖变綘鍛?23","type":3,"block":7,"hp":100},{"fit":0,"name":"TFTChampion","disname":"鍓戣韩鍏ラ瓊鍗充负鍦?,"type":3,"block":5,"hp":100},{"fit":0,"name":"TFTChampion","disname":"trycely","type":3,"block":2,"hp":100},{"fit":0,"name":"TFTChampion","disname":"澶氶奔姹豹姹?,"type":3,"block":1,"hp":100},{"fit":0,"name":"TFTChampion","disname":"鏇剧粡鐨勫勾灏戠柉鐙?,"type":3,"block":0,"hp":100},{"fit":0,"name":"TFTChampion","disname":"灏忓懆鍛ㄥ皬灏忓懆","type":3,"block":3,"hp":100},{"fit":0,"name":"TFTChampion","disname":"鐧芥楹昏柉濂惰尪","type":3,"block":6,"hp":100},{"name":"TFT5_Khazix","disname":"U2000218_TFT5_Khazix_2","type":5,"block":7,"hp":500},{"name":"TFT5_Kled","disname":"U2000247_TFT5_Kled_2","type":5,"block":8,"hp":400},{"name":"TFT5_Gragas","disname":"U2000305_TFT5_Gragas_2","type":5,"block":5,"hp":750},{"name":"TFT5_Senna","disname":"U2000363_TFT5_Senna_2","type":5,"block":2,"hp":500},{"name":"TFT5_Olaf","disname":"U2000392_TFT5_Olaf_2","type":5,"block":1,"hp":650},{"name":"TFT5_Kalista","disname":"U2000421_TFT5_Kalista_2","type":5,"block":0,"hp":500},{"name":"TFT5_Udyr","disname":"U2000160_TFT5_Udyr_2","type":5,"block":3,"hp":700},{"name":"TFT5_Poppy","disname":"U2000276_TFT5_Poppy_2","type":5,"block":6,"hp":600}]}</t>
  </si>
  <si>
    <t>{"success":true,"code":200,"msg":"鎴愬姛","data":[{"fit":0,"name":"TFTChampion","disname":"鎯冲ず鏈卞摜涓€琛€","type":3,"block":7,"hp":100},{"fit":0,"name":"TFTChampion","disname":"灏忔柊璧扮伀o","type":3,"block":8,"hp":100},{"fit":0,"name":"TFTChampion","disname":"灞犳埉鍌诲啋","type":3,"block":2,"hp":100},{"fit":0,"name":"TFTChampion","disname":"鏈夌偣鎸戝晩浣?,"type":3,"block":1,"hp":100},{"fit":0,"name":"TFTChampion","disname":"涓夊皯鐖风柤浣?,"type":3,"block":0,"hp":100},{"fit":0,"name":"TFTChampion","disname":"CoyCvc","type":3,"block":3,"hp":100},{"fit":0,"name":"TFTChampion","disname":"绌哄煄涓ㄥ姊?,"type":3,"block":6,"hp":100},{"name":"TFT5_Leona","disname":"U2000131_TFT5_Leona_2","type":5,"block":7,"hp":700},{"name":"TFT5_Vladimir","disname":"U2000189_TFT5_Vladimir_2","type":5,"block":8,"hp":650},{"name":"TFT5_Senna","disname":"U2000363_TFT5_Senna_2","type":5,"block":5,"hp":500},{"name":"TFT5_Khazix","disname":"U2000218_TFT5_Khazix_2","type":5,"block":2,"hp":500},{"name":"TFT5_Kled","disname":"U2000247_TFT5_Kled_2","type":5,"block":1,"hp":400},{"name":"TFT5_Aatrox","disname":"U2000073_TFT5_Aatrox_2","type":5,"block":0,"hp":650},{"name":"TFT5_Kalista","disname":"U2000421_TFT5_Kalista_2","type":5,"block":3,"hp":500},{"name":"TFT5_Udyr","disname":"U2000160_TFT5_Udyr_2","type":5,"block":6,"hp":700}]}</t>
  </si>
  <si>
    <t xml:space="preserve"> </t>
  </si>
  <si>
    <t>{"success":true,"code":200,"msg":"鎴愬姛","data":["TFT5_Lulu","TFT5_Sejuani","TFT5_Nautilus","TFT5_Zyra","TFT5_Zyra"]}</t>
  </si>
  <si>
    <t>{"success":true,"code":200,"msg":"鎴愬姛","data":[{"isme":true,"zt":5,"fit":0,"name":"TFTChampion","disname":"AlphaChess","type":3,"block":6,"hp":16},{"fit":1,"name":"TFTChampion","disname":"閫嗛娓稿巻","type":3,"block":7,"hp":10},{"fit":1,"name":"TFTChampion","disname":"GUKOHU","type":3,"block":8,"hp":0},{"fit":1,"name":"TFTChampion","disname":"楗敖椋庨洩E","type":3,"block":5,"hp":12},{"fit":1,"name":"TFTChampion","disname":"lvemperor","type":3,"block":2,"hp":10},{"fit":1,"name":"TFTChampion","disname":"鐩堢泩鍙堝洶浜?,"type":3,"block":1,"hp":16},{"fit":2,"name":"TFTChampion","disname":"鎴戞槸鍙埍鍢ゅ槫鍢?,"type":3,"block":0,"hp":12},{"fit":0,"name":"TFTChampion","disname":"S闄ㄨ惤鏄熻景S","type":3,"block":3,"hp":12},{"name":"TFT5_Irelia","disname":"U2000704_TFT5_Irelia_1","type":5,"block":3,"hp":1350},{"name":"TFT5_Poppy","disname":"U2000301_TFT5_Poppy_1","type":5,"block":2,"hp":600},{"name":"TFT5_Brand","disname":"U2000528_TFT5_Brand_1","type":5,"block":6,"hp":600},{"name":"TFT5_Poppy","disname":"U2000277_TFT5_Poppy_1","type":5,"block":0,"hp":600},{"name":"TFT5_Brand","disname":"U2000529_TFT5_Brand_2","type":5,"block":6,"hp":600},{"name":"TFT5_Kalista","disname":"U2000438_TFT5_Kalista_1","type":5,"block":6,"hp":500},{"name":"TFT5_Udyr","disname":"U2000160_TFT5_Udyr_6","type":5,"block":6,"hp":700},{"name":"TFT5_Vladimir","disname":"U2000203_TFT5_Vladimir_1","type":5,"block":2,"hp":650},{"name":"TFT5_Poppy","disname":"U2000288_TFT5_Poppy_1","type":5,"block":0,"hp":600},{"name":"TFT5_Irelia","disname":"U2000712_TFT5_Irelia_1","type":5,"block":5,"hp":750},{"name":"TFT5_Kalista","disname":"U2000432_TFT5_Kalista_1","type":5,"block":1,"hp":900},{"name":"TFT5_Olaf","disname":"U2000411_TFT5_Olaf_1","type":5,"block":5,"hp":650},{"name":"TFT5_Irelia","disname":"U2000713_TFT5_Irelia_1","type":5,"block":7,"hp":750},{"name":"TFT5_Kennen","disname":"U2000619_TFT5_Kennen_4","type":5,"block":5,"hp":600},{"name":"TFT5_Varus","disname":"U2000465_TFT5_Varus_1","type":5,"block":7,"hp":1080},{"name":"TFT5_Pyke","disname":"U2000577_TFT5_Pyke_6","type":5,"block":7,"hp":1170},{"name":"TFT5_Irelia","disname":"U2000711_TFT5_Irelia_1","type":5,"block":6,"hp":750},{"name":"TFT5_Thresh","disname":"U2000656_TFT5_Thresh_1","type":5,"block":3,"hp":800},{"name":"TFT5_Varus","disname":"U2000456_TFT5_Varus_1","type":5,"block":3,"hp":600},{"name":"TFT5_Ashe","disname":"U2000840_TFT5_Ashe_1","type":5,"block":3,"hp":600},{"name":"TFT5_Galio","disname":"U2001038_TFT5_Galio_1","type":5,"block":2,"hp":1000},{"name":"TFT5_Vayne","disname":"U2000127_TFT5_Vayne_1","type":5,"block":3,"hp":500},{"name":"TFT5_Senna","disname":"U2000369_TFT5_Senna_1","type":5,"block":2,"hp":500},{"name":"TFT5_Yasuo","disname":"U2000902_TFT5_Yasuo_1","type":5,"block":3,"hp":800},{"name":"TFT5_Zyra","disname":"U2000852_TFT5_Zyra_4","type":5,"block":1,"hp":600},{"name":"TFT5_Aphelios","disname":"U2001061_TFT5_Aphelios_1","type":5,"block":2,"hp":650},{"name":"TFT5_Kennen","disname":"U2000608_TFT5_Kennen_1","type":5,"block":0,"hp":600},{"name":"TFT5_Leona","disname":"U2000142_TFT5_Leona_1","type":5,"block":7,"hp":700},{"name":"TFT5_Senna","disname":"U2000385_TFT5_Senna_5","type":5,"block":2,"hp":500},{"name":"TFT5_Varus","disname":"U2000462_TFT5_Varus_2","type":5,"block":0,"hp":600},{"name":"TFT5_Soraka","disname":"U2000479_TFT5_Soraka_5","type":5,"block":6,"hp":550},{"name":"TFT5_Irelia","disname":"U2000696_TFT5_Irelia_1","type":5,"block":2,"hp":1350},{"name":"TFT5_Leona","disname":"U2000148_TFT5_Leona_1","type":5,"block":7,"hp":700},{"name":"TFT5_Jax","disname":"U2000961_TFT5_Jax_1","type":5,"block":3,"hp":1000},{"name":"TFT5_Kled","disname":"U2000258_TFT5_Kled_1","type":5,"block":2,"hp":400},{"name":"TFT5_Irelia","disname":"U2000699_TFT5_Irelia_1","type":5,"block":7,"hp":750},{"name":"TFT5_Kalista","disname":"U2000425_TFT5_Kalista_1","type":5,"block":3,"hp":500},{"name":"TFT5_Hecarim","disname":"U2000541_TFT5_Hecarim_1","type":5,"block":7,"hp":750},{"name":"TFT5_Olaf","disname":"U2000415_TFT5_Olaf_7","type":5,"block":5,"hp":650},{"name":"TFT5_Leona","disname":"U2000137_TFT5_Leona_8","type":5,"block":7,"hp":1260},{"name":"TFT5_Poppy","disname":"U2000303_TFT5_Poppy_6","type":5,"block":7,"hp":1230},{"name":"TFT5_Varus","disname":"U2000467_TFT5_Varus_9","type":5,"block":7,"hp":1080},{"name":"TFT5_Nautilus","disname":"U2000639_TFT5_Nautilus_6","type":5,"block":7,"hp":750},{"name":"TFT5_Thresh","disname":"U2000661_TFT5_Thresh_3","type":5,"block":7,"hp":800},{"name":"TFT5_Ashe","disname":"U2000844_TFT5_Ashe_6","type":5,"block":7,"hp":1080},{"name":"TFT5_Udyr","disname":"U2000183_TFT5_Udyr_8","type":5,"block":5,"hp":1260},{"name":"TFT5_Olaf","disname":"U2000413_TFT5_Olaf_11","type":5,"block":5,"hp":1170},{"name":"TFT5_Kennen","disname":"U2000624_TFT5_Kennen_6","type":5,"block":5,"hp":600},{"name":"TFT5_Irelia","disname":"U2000709_TFT5_Irelia_12","type":5,"block":5,"hp":750},{"name":"TFT5_Nidalee","disname":"U2000887_TFT5_Nidalee_3","type":5,"block":5,"hp":800},{"name":"TFT5_Lucian","disname":"U2000983_TFT5_Lucian_4","type":5,"block":5,"hp":700},{"name":"TFT5_Aatrox","disname":"U2000073_TFT5_Aatrox_16","type":5,"block":2,"hp":1170},{"name":"TFT5_Kled","disname":"U2000264_TFT5_Kled_4","type":5,"block":2,"hp":400},{"name":"TFT5_Senna","disname":"U2000366_TFT5_Senna_12","type":5,"block":2,"hp":900},{"name":"TFT5_Kalista","disname":"U2000447_TFT5_Kalista_10","type":5,"block":2,"hp":1050},{"name":"TFT5_Yasuo","disname":"U2000901_TFT5_Yasuo_8","type":5,"block":2,"hp":1440},{"name":"TFT5_MissFortune","disname":"U2000933_TFT5_MissFortune_5","type":5,"block":2,"hp":700},{"name":"TFT5_Udyr","disname":"U2000173_TFT5_Udyr_7","type":5,"block":1,"hp":700},{"name":"TFT5_Kalista","disname":"U2000424_TFT5_Kalista_14","type":5,"block":1,"hp":900},{"name":"TFT5_Brand","disname":"U2000538_TFT5_Brand_7","type":5,"block":1,"hp":1080},{"name":"TFT5_Ashe","disname":"U2000829_TFT5_Ashe_4","type":5,"block":1,"hp":1080},{"name":"TFT5_Zyra","disname":"U2000859_TFT5_Zyra_6","type":5,"block":1,"hp":600},{"name":"TFT5_Nunu","disname":"U2000879_TFT5_Nunu_13","type":5,"block":1,"hp":2700},{"name":"TFT5_Fiddlesticks","disname":"U2001074_TFT5_Fiddlesticks_4","type":5,"block":1,"hp":800},{"name":"TFT5_Aatrox","disname":"U2000099_TFT5_Aatrox_11","type":5,"block":0,"hp":1170},{"name":"TFT5_Leona","disname":"U2000139_TFT5_Leona_11","type":5,"block":0,"hp":1410},{"name":"TFT5_Kled","disname":"U2000267_TFT5_Kled_5","type":5,"block":0,"hp":720},{"name":"TFT5_Ziggs","disname":"U2000335_TFT5_Ziggs_8","type":5,"block":0,"hp":1458},{"name":"TFT5_Syndra","disname":"U2000506_TFT5_Syndra_12","type":5,"block":0,"hp":600},{"name":"TFT5_Lulu","disname":"U2000776_TFT5_Lulu_2","type":5,"block":0,"hp":1170},{"name":"TFT5_Vayne","disname":"U2000121_TFT5_Vayne_8","type":5,"block":3,"hp":900},{"name":"TFT5_Leona","disname":"U2000131_TFT5_Leona_14","type":5,"block":3,"hp":1260},{"name":"TFT5_Poppy","disname":"U2000283_TFT5_Poppy_4","type":5,"block":3,"hp":1080},{"name":"TFT5_Thresh","disname":"U2000654_TFT5_Thresh_12","type":5,"block":3,"hp":800},{"name":"TFT5_Riven","disname":"U2000751_TFT5_Riven_3","type":5,"block":3,"hp":1440},{"name":"TFT5_Ashe","disname":"U2000833_TFT5_Ashe_5","type":5,"block":3,"hp":600},{"name":"TFT5_Udyr","disname":"U2000182_TFT5_Udyr_10","type":5,"block":6,"hp":1260},{"name":"TFT5_Vladimir","disname":"U2000197_TFT5_Vladimir_10","type":5,"block":6,"hp":1170},{"name":"TFT5_Sejuani","disname":"U2000589_TFT5_Sejuani_9","type":5,"block":6,"hp":1150},{"name":"TFT5_Sett","disname":"U2000673_TFT5_Sett_11","type":5,"block":6,"hp":1840},{"name":"TFT5_Rakan","disname":"U2000820_TFT5_Rakan_7","type":5,"block":6,"hp":950},{"name":"TFT5_Ashe","disname":"U2000845_TFT5_Ashe_3","type":5,"block":6,"hp":600},{"name":"TFT5_DraconicEgg","disname":"U2001465_TFT5_DraconicEgg_1","type":5,"block":1,"hp":2},{"name":"TFT5_DraconicEgg","disname":"U2001468_TFT5_DraconicEgg_1","type":5,"block":6,"hp":1},{"name":"TFT5_Karma","disname":"U2000968_TFT5_Karma_1","type":5,"block":3,"hp":700},{"name":"TFT5_Aatrox","disname":"U2000096_TFT5_Aatrox_1","type":5,"block":0,"hp":650}]}</t>
  </si>
  <si>
    <t>{"success":true,"code":200,"msg":"鎴愬姛","data":["TFT5_Karma","TFT5_Udyr","TFT5_Vayne","TFT5_Soraka","TFT5_Yasuo"]}</t>
  </si>
  <si>
    <t>{"success":true,"code":200,"msg":"鎴愬姛","data":[{"isme":true,"zt":5,"fit":0,"name":"TFTChampion","disname":"AlphaChess","type":3,"block":6,"hp":8},{"fit":1,"name":"TFTChampion","disname":"閫嗛娓稿巻","type":3,"block":7,"hp":10},{"fit":1,"name":"TFTChampion","disname":"GUKOHU","type":3,"block":8,"hp":0},{"fit":1,"name":"TFTChampion","disname":"楗敖椋庨洩E","type":3,"block":5,"hp":8},{"fit":1,"name":"TFTChampion","disname":"lvemperor","type":3,"block":2,"hp":1},{"fit":1,"name":"TFTChampion","disname":"鐩堢泩鍙堝洶浜?,"type":3,"block":1,"hp":12},{"fit":2,"name":"TFTChampion","disname":"鎴戞槸鍙埍鍢ゅ槫鍢?,"type":3,"block":0,"hp":12},{"fit":1,"name":"TFTChampion","disname":"S闄ㄨ惤鏄熻景S","type":3,"block":3,"hp":8},{"name":"TFT5_Poppy","disname":"U2000301_TFT5_Poppy_1","type":5,"block":2,"hp":600},{"name":"TFT5_Brand","disname":"U2000528_TFT5_Brand_1","type":5,"block":6,"hp":600},{"name":"TFT5_Poppy","disname":"U2000277_TFT5_Poppy_1","type":5,"block":0,"hp":1080},{"name":"TFT5_Brand","disname":"U2000529_TFT5_Brand_2","type":5,"block":6,"hp":600},{"name":"TFT5_Udyr","disname":"U2000160_TFT5_Udyr_6","type":5,"block":6,"hp":700},{"name":"TFT5_Vladimir","disname":"U2000203_TFT5_Vladimir_1","type":5,"block":2,"hp":650},{"name":"TFT5_Kalista","disname":"U2000432_TFT5_Kalista_1","type":5,"block":1,"hp":900},{"name":"TFT5_Olaf","disname":"U2000411_TFT5_Olaf_1","type":5,"block":5,"hp":650},{"name":"TFT5_Varus","disname":"U2000465_TFT5_Varus_1","type":5,"block":7,"hp":1080},{"name":"TFT5_Irelia","disname":"U2000711_TFT5_Irelia_1","type":5,"block":6,"hp":750},{"name":"TFT5_Senna","disname":"U2000369_TFT5_Senna_1","type":5,"block":2,"hp":500},{"name":"TFT5_Yasuo","disname":"U2000902_TFT5_Yasuo_1","type":5,"block":3,"hp":800},{"name":"TFT5_Aphelios","disname":"U2001061_TFT5_Aphelios_1","type":5,"block":2,"hp":650},{"name":"TFT5_Kennen","disname":"U2000608_TFT5_Kennen_1","type":5,"block":0,"hp":600},{"name":"TFT5_Leona","disname":"U2000142_TFT5_Leona_1","type":5,"block":7,"hp":1260},{"name":"TFT5_Senna","disname":"U2000385_TFT5_Senna_5","type":5,"block":2,"hp":500},{"name":"TFT5_Varus","disname":"U2000462_TFT5_Varus_2","type":5,"block":0,"hp":1080},{"name":"TFT5_Soraka","disname":"U2000479_TFT5_Soraka_5","type":5,"block":6,"hp":550},{"name":"TFT5_Jax","disname":"U2000961_TFT5_Jax_1","type":5,"block":3,"hp":1000},{"name":"TFT5_Hecarim","disname":"U2000541_TFT5_Hecarim_1","type":5,"block":7,"hp":1350},{"name":"TFT5_Olaf","disname":"U2000415_TFT5_Olaf_7","type":5,"block":5,"hp":650},{"name":"TFT5_Aatrox","disname":"U2000096_TFT5_Aatrox_1","type":5,"block":0,"hp":650},{"name":"TFT5_Yasuo","disname":"U2000909_TFT5_Yasuo_1","type":5,"block":2,"hp":800},{"name":"TFT5_Poppy","disname":"U2000297_TFT5_Poppy_1","type":5,"block":7,"hp":600},{"name":"TFT5_Sett","disname":"U2000674_TFT5_Sett_1","type":5,"block":6,"hp":800},{"name":"TFT5_Rell","disname":"U2000996_TFT5_Rell_1","type":5,"block":5,"hp":900},{"name":"TFT5_Karma","disname":"U2000969_TFT5_Karma_1","type":5,"block":3,"hp":700},{"name":"TFT5_Syndra","disname":"U2000495_TFT5_Syndra_4","type":5,"block":0,"hp":1080},{"name":"TFT5_Jax","disname":"U2000955_TFT5_Jax_1","type":5,"block":3,"hp":1000},{"name":"TFT5_Aatrox","disname":"U2000078_TFT5_Aatrox_1","type":5,"block":3,"hp":650},{"name":"TFT5_Kled","disname":"U2000264_TFT5_Kled_7","type":5,"block":2,"hp":720},{"name":"TFT5_Karma","disname":"U2000968_TFT5_Karma_2","type":5,"block":3,"hp":700},{"name":"TFT5_Sett","disname":"U2000679_TFT5_Sett_1","type":5,"block":6,"hp":800},{"name":"TFT5_Sett","disname":"U2000682_TFT5_Sett_1","type":5,"block":1,"hp":800},{"name":"TFT5_Ashe","disname":"U2000835_TFT5_Ashe_1","type":5,"block":1,"hp":600},{"name":"TFT5_Sejuani","disname":"U2000598_TFT5_Sejuani_1","type":5,"block":7,"hp":750},{"name":"TFT5_Rell","disname":"U2000994_TFT5_Rell_1","type":5,"block":5,"hp":900},{"name":"TFT5_Irelia","disname":"U2000698_TFT5_Irelia_1","type":5,"block":5,"hp":750},{"name":"TFT5_Rell","disname":"U2001001_TFT5_Rell_1","type":5,"block":3,"hp":900},{"name":"TFT5_Ashe","disname":"U2000830_TFT5_Ashe_1","type":5,"block":7,"hp":600},{"name":"TFT5_Ivern","disname":"U2001050_TFT5_Ivern_1","type":5,"block":7,"hp":950},{"name":"TFT5_Ivern","disname":"U2001039_TFT5_Ivern_1","type":5,"block":7,"hp":950},{"name":"TFT5_Kled","disname":"U2000253_TFT5_Kled_1","type":5,"block":0,"hp":400},{"name":"TFT5_Aatrox","disname":"U2000089_TFT5_Aatrox_3","type":5,"block":3,"hp":650},{"name":"TFT5_Kled","disname":"U2000273_TFT5_Kled_1","type":5,"block":2,"hp":400},{"name":"TFT5_Leona","disname":"U2000137_TFT5_Leona_13","type":5,"block":7,"hp":1260},{"name":"TFT5_Poppy","disname":"U2000303_TFT5_Poppy_11","type":5,"block":7,"hp":1230},{"name":"TFT5_Varus","disname":"U2000467_TFT5_Varus_14","type":5,"block":7,"hp":1080},{"name":"TFT5_Nautilus","disname":"U2000639_TFT5_Nautilus_11","type":5,"block":7,"hp":750},{"name":"TFT5_Thresh","disname":"U2000661_TFT5_Thresh_8","type":5,"block":7,"hp":800},{"name":"TFT5_Ashe","disname":"U2000844_TFT5_Ashe_11","type":5,"block":7,"hp":1080},{"name":"TFT5_Viego","disname":"U2001096_TFT5_Viego_4","type":5,"block":7,"hp":1000},{"name":"TFT5_Udyr","disname":"U2000183_TFT5_Udyr_12","type":5,"block":5,"hp":1260},{"name":"TFT5_Olaf","disname":"U2000413_TFT5_Olaf_15","type":5,"block":5,"hp":1170},{"name":"TFT5_Kennen","disname":"U2000624_TFT5_Kennen_10","type":5,"block":5,"hp":1080},{"name":"TFT5_Irelia","disname":"U2000709_TFT5_Irelia_16","type":5,"block":5,"hp":1350},{"name":"TFT5_Nidalee","disname":"U2000887_TFT5_Nidalee_7","type":5,"block":5,"hp":800},{"name":"TFT5_Jax","disname":"U2000966_TFT5_Jax_3","type":5,"block":5,"hp":1000},{"name":"TFT5_Lucian","disname":"U2000989_TFT5_Lucian_3","type":5,"block":5,"hp":700},{"name":"TFT5_Aatrox","disname":"U2000073_TFT5_Aatrox_20","type":5,"block":2,"hp":1170},{"name":"TFT5_Senna","disname":"U2000366_TFT5_Senna_16","type":5,"block":2,"hp":900},{"name":"TFT5_Kalista","disname":"U2000447_TFT5_Kalista_14","type":5,"block":2,"hp":1050},{"name":"TFT5_Irelia","disname":"U2000696_TFT5_Irelia_3","type":5,"block":2,"hp":1350},{"name":"TFT5_Yasuo","disname":"U2000901_TFT5_Yasuo_12","type":5,"block":2,"hp":1440},{"name":"TFT5_MissFortune","disname":"U2000933_TFT5_MissFortune_9","type":5,"block":2,"hp":700},{"name":"TFT5_Teemo","disname":"U2001106_TFT5_Teemo_2","type":5,"block":2,"hp":800},{"name":"TFT5_Udyr","disname":"U2000173_TFT5_Udyr_10","type":5,"block":1,"hp":700},{"name":"TFT5_Kalista","disname":"U2000424_TFT5_Kalista_17","type":5,"block":1,"hp":900},{"name":"TFT5_Brand","disname":"U2000538_TFT5_Brand_10","type":5,"block":1,"hp":1080},{"name":"TFT5_Ashe","disname":"U2000829_TFT5_Ashe_7","type":5,"block":1,"hp":1080},{"name":"TFT5_Zyra","disname":"U2000859_TFT5_Zyra_9","type":5,"block":1,"hp":1080},{"name":"TFT5_Nunu","disname":"U2000879_TFT5_Nunu_16","type":5,"block":1,"hp":3420},{"name":"TFT5_Ivern","disname":"U2001047_TFT5_Ivern_3","type":5,"block":1,"hp":950},{"name":"TFT5_Fiddlesticks","disname":"U2001074_TFT5_Fiddlesticks_7","type":5,"block":1,"hp":800},{"name":"TFT5_Aatrox","disname":"U2000099_TFT5_Aatrox_15","type":5,"block":0,"hp":1170},{"name":"TFT5_Leona","disname":"U2000139_TFT5_Leona_15","type":5,"block":0,"hp":1410},{"name":"TFT5_Kled","disname":"U2000267_TFT5_Kled_9","type":5,"block":0,"hp":720},{"name":"TFT5_Ziggs","disname":"U2000335_TFT5_Ziggs_12","type":5,"block":0,"hp":1458},{"name":"TFT5_Tristana","disname":"U2000723_TFT5_Tristana_8","type":5,"block":0,"hp":990},{"name":"TFT5_Lulu","disname":"U2000776_TFT5_Lulu_6","type":5,"block":0,"hp":1170},{"name":"TFT5_Velkoz","disname":"U2001008_TFT5_Velkoz_3","type":5,"block":0,"hp":700},{"name":"TFT5_Vayne","disname":"U2000121_TFT5_Vayne_12","type":5,"block":3,"hp":900},{"name":"TFT5_Leona","disname":"U2000131_TFT5_Leona_18","type":5,"block":3,"hp":1260},{"name":"TFT5_Poppy","disname":"U2000283_TFT5_Poppy_8","type":5,"block":3,"hp":1080},{"name":"TFT5_Irelia","disname":"U2000704_TFT5_Irelia_5","type":5,"block":3,"hp":1350},{"name":"TFT5_Riven","disname":"U2000751_TFT5_Riven_7","type":5,"block":3,"hp":1440},{"name":"TFT5_Nidalee","disname":"U2000894_TFT5_Nidalee_2","type":5,"block":3,"hp":1440},{"name":"TFT5_Udyr","disname":"U2000182_TFT5_Udyr_13","type":5,"block":6,"hp":1260},{"name":"TFT5_Vladimir","disname":"U2000197_TFT5_Vladimir_13","type":5,"block":6,"hp":1170},{"name":"TFT5_Sejuani","disname":"U2000589_TFT5_Sejuani_12","type":5,"block":6,"hp":1150},{"name":"TFT5_Sett","disname":"U2000673_TFT5_Sett_14","type":5,"block":6,"hp":1840},{"name":"TFT5_Rakan","disname":"U2000820_TFT5_Rakan_10","type":5,"block":6,"hp":950},{"name":"TFT5_Ashe","disname":"U2000845_TFT5_Ashe_6","type":5,"block":6,"hp":600},{"name":"TFT5_Zyra","disname":"U2000860_TFT5_Zyra_3","type":5,"block":6,"hp":600},{"name":"TFT5_DraconicEgg","disname":"U2001688_TFT5_DraconicEgg_1","type":5,"block":1,"hp":1},{"name":"TFT5_DraconicEgg","disname":"U2001692_TFT5_DraconicEgg_1","type":5,"block":6,"hp":3},{"name":"TFT5_Kalista","disname":"U2000439_TFT5_Kalista_1","type":5,"block":1,"hp":500},{"name":"TFT5_LeeSin","disname":"U2000766_TFT5_LeeSin_1","type":5,"block":5,"hp":800},{"name":"TFT5_Kled","disname":"U2000256_TFT5_Kled_1","type":5,"block":0,"hp":400},{"name":"TFT5_Velkoz","disname":"U2001012_TFT5_Velkoz_1","type":5,"block":3,"hp":700},{"name":"TFT5_Nunu","disname":"U2000881_TFT5_Nunu_1","type":5,"block":1,"hp":900},{"name":"TFT5_Lucian","disname":"U2000985_TFT5_Lucian_1","type":5,"block":2,"hp":700},{"name":"TFT5_Ivern","disname":"U2001044_TFT5_Ivern_1","type":5,"block":5,"hp":950},{"name":"TFT5_Poppy","disname":"U2000300_TFT5_Poppy_1","type":5,"block":0,"hp":600},{"name":"TFT5_Varus","disname":"U2000458_TFT5_Varus_1","type":5,"block":0,"hp":600},{"name":"TFT5_Galio","disname":"U2001032_TFT5_Galio_1","type":5,"block":5,"hp":1000},{"name":"TFT5_Nidalee","disname":"U2000882_TFT5_Nidalee_1","type":5,"block":5,"hp":800}]}</t>
  </si>
  <si>
    <t>egg</t>
  </si>
  <si>
    <t>gold egg</t>
  </si>
  <si>
    <t>{"success":true,"code":200,"msg":"鎴愬姛","data":[{"isme":true,"zt":5,"fit":0,"name":"TFTChampion","disname":"AlphaChess","type":3,"block":5,"hp":20},{"fit":0,"name":"TFTChampion","disname":"閫嗛娓稿巻","type":3,"block":7,"hp":20},{"fit":0,"name":"TFTChampion","disname":"S闄ㄨ惤鏄熻景S","type":3,"block":8,"hp":20},{"fit":0,"name":"TFTChampion","disname":"lvemperor","type":3,"block":2,"hp":20},{"fit":0,"name":"TFTChampion","disname":"姣掓瘨姣掔敺瀛愪付","type":3,"block":1,"hp":20},{"fit":0,"name":"TFTChampion","disname":"寰呮垜鍘绘瘉鐏笘鐣?,"type":3,"block":0,"hp":20},{"fit":0,"name":"TFTChampion","disname":"灏艰澏鏂?,"type":3,"block":3,"hp":20},{"fit":0,"name":"TFTChampion","disname":"绌哄煄姊︿付渚濇棫","type":3,"block":6,"hp":20},{"name":"TFT5_Senna","disname":"U2000363_TFT5_Senna_2","type":5,"block":7,"hp":500},{"name":"TFT5_Leona","disname":"U2000131_TFT5_Leona_2","type":5,"block":8,"hp":700},{"name":"TFT5_Vayne","disname":"U2000102_TFT5_Vayne_2","type":5,"block":5,"hp":650},{"name":"TFT5_Kalista","disname":"U2000421_TFT5_Kalista_2","type":5,"block":2,"hp":500},{"name":"TFT5_Khazix","disname":"U2000218_TFT5_Khazix_2","type":5,"block":1,"hp":500},{"name":"TFT5_Olaf","disname":"U2000392_TFT5_Olaf_2","type":5,"block":0,"hp":650},{"name":"TFT5_Udyr","disname":"U2000160_TFT5_Udyr_2","type":5,"block":3,"hp":700},{"name":"TFT5_Ziggs","disname":"U2000334_TFT5_Ziggs_2","type":5,"block":6,"hp":450}]}</t>
  </si>
  <si>
    <t>{"success":true,"code":200,"msg":"鎴愬姛","data":["TFT5_Lux","TFT5_Riven","TFT5_Nautilus","TFT5_Sett","TFT5_Kalista"]}</t>
  </si>
  <si>
    <t>{"success":true,"code":200,"msg":"鎴愬姛","data":[{"isme":true,"zt":5,"fit":0,"name":"TFTChampion","disname":"AlphaChess","type":3,"block":5,"hp":10},{"fit":0,"name":"TFTChampion","disname":"閫嗛娓稿巻","type":3,"block":7,"hp":18},{"fit":1,"name":"TFTChampion","disname":"S闄ㄨ惤鏄熻景S","type":3,"block":8,"hp":6},{"fit":1,"name":"TFTChampion","disname":"lvemperor","type":3,"block":2,"hp":16},{"fit":1,"name":"TFTChampion","disname":"姣掓瘨姣掔敺瀛愪付","type":3,"block":1,"hp":14},{"fit":2,"name":"TFTChampion","disname":"寰呮垜鍘绘瘉鐏笘鐣?,"type":3,"block":0,"hp":12},{"fit":0,"name":"TFTChampion","disname":"灏艰澏鏂?,"type":3,"block":3,"hp":0},{"fit":1,"name":"TFTChampion","disname":"绌哄煄姊︿付渚濇棫","type":3,"block":6,"hp":12},{"name":"TFT5_Nautilus","disname":"U2000641_TFT5_Nautilus_1","type":5,"block":5,"hp":750},{"name":"TFT5_Nautilus","disname":"U2000635_TFT5_Nautilus_1","type":5,"block":6,"hp":1350},{"name":"TFT5_Senna","disname":"U2000367_TFT5_Senna_1","type":5,"block":2,"hp":500},{"name":"TFT5_Sejuani","disname":"U2000602_TFT5_Sejuani_1","type":5,"block":7,"hp":1750},{"name":"TFT5_Poppy","disname":"U2000294_TFT5_Poppy_1","type":5,"block":0,"hp":600},{"name":"TFT5_Vayne","disname":"U2000110_TFT5_Vayne_1","type":5,"block":8,"hp":900},{"name":"TFT5_Senna","disname":"U2000379_TFT5_Senna_1","type":5,"block":2,"hp":500},{"name":"TFT5_Poppy","disname":"U2000290_TFT5_Poppy_1","type":5,"block":0,"hp":600},{"name":"TFT5_Kalista","disname":"U2000435_TFT5_Kalista_1","type":5,"block":7,"hp":900},{"name":"TFT5_Riven","disname":"U2000740_TFT5_Riven_1","type":5,"block":8,"hp":1440},{"name":"TFT5_Syndra","disname":"U2000496_TFT5_Syndra_1","type":5,"block":8,"hp":600},{"name":"TFT5_Olaf","disname":"U2000404_TFT5_Olaf_1","type":5,"block":1,"hp":650},{"name":"TFT5_Aatrox","disname":"U2000086_TFT5_Aatrox_1","type":5,"block":2,"hp":650},{"name":"TFT5_Nunu","disname":"U2000878_TFT5_Nunu_1","type":5,"block":2,"hp":900},{"name":"TFT5_Poppy","disname":"U2000295_TFT5_Poppy_2","type":5,"block":6,"hp":1080},{"name":"TFT5_Leona","disname":"U2000157_TFT5_Leona_1","type":5,"block":6,"hp":700},{"name":"TFT5_Ashe","disname":"U2000837_TFT5_Ashe_1","type":5,"block":6,"hp":600},{"name":"TFT5_Leona","disname":"U2000147_TFT5_Leona_1","type":5,"block":6,"hp":700},{"name":"TFT5_Kalista","disname":"U2000437_TFT5_Kalista_1","type":5,"block":2,"hp":500},{"name":"TFT5_Kennen","disname":"U2000609_TFT5_Kennen_1","type":5,"block":0,"hp":600},{"name":"TFT5_Irelia","disname":"U2000713_TFT5_Irelia_1","type":5,"block":7,"hp":750},{"name":"TFT5_Aatrox","disname":"U2000094_TFT5_Aatrox_1","type":5,"block":7,"hp":650},{"name":"TFT5_Nidalee","disname":"U2000894_TFT5_Nidalee_1","type":5,"block":7,"hp":800},{"name":"TFT5_Kennen","disname":"U2000619_TFT5_Kennen_1","type":5,"block":2,"hp":600},{"name":"TFT5_Aatrox","disname":"U2000083_TFT5_Aatrox_1","type":5,"block":7,"hp":650},{"name":"TFT5_Irelia","disname":"U2000701_TFT5_Irelia_1","type":5,"block":7,"hp":750},{"name":"TFT5_Sett","disname":"U2000689_TFT5_Sett_1","type":5,"block":7,"hp":800},{"name":"TFT5_Yasuo","disname":"U2000907_TFT5_Yasuo_1","type":5,"block":8,"hp":800},{"name":"TFT5_Nautilus","disname":"U2000644_TFT5_Nautilus_1","type":5,"block":8,"hp":750},{"name":"TFT5_Pyke","disname":"U2000566_TFT5_Pyke_1","type":5,"block":1,"hp":650},{"name":"TFT5_Senna","disname":"U2000391_TFT5_Senna_1","type":5,"block":1,"hp":500},{"name":"TFT5_Aatrox","disname":"U2000099_TFT5_Aatrox_1","type":5,"block":8,"hp":650},{"name":"TFT5_Aatrox","disname":"U2000101_TFT5_Aatrox_10","type":5,"block":7,"hp":1170},{"name":"TFT5_Udyr","disname":"U2000185_TFT5_Udyr_6","type":5,"block":7,"hp":1260},{"name":"TFT5_Kennen","disname":"U2000608_TFT5_Kennen_4","type":5,"block":7,"hp":600},{"name":"TFT5_Sett","disname":"U2000687_TFT5_Sett_10","type":5,"block":7,"hp":800},{"name":"TFT5_Nunu","disname":"U2000871_TFT5_Nunu_9","type":5,"block":7,"hp":2170},{"name":"TFT5_Nidalee","disname":"U2000882_TFT5_Nidalee_12","type":5,"block":7,"hp":800},{"name":"TFT5_Aatrox","disname":"U2000074_TFT5_Aatrox_11","type":5,"block":8,"hp":1170},{"name":"TFT5_Vayne","disname":"U2000117_TFT5_Vayne_13","type":5,"block":8,"hp":900},{"name":"TFT5_Udyr","disname":"U2000184_TFT5_Udyr_13","type":5,"block":8,"hp":1410},{"name":"TFT5_Kalista","disname":"U2000424_TFT5_Kalista_9","type":5,"block":8,"hp":900},{"name":"TFT5_Hecarim","disname":"U2000559_TFT5_Hecarim_3","type":5,"block":8,"hp":1350},{"name":"TFT5_Irelia","disname":"U2000696_TFT5_Irelia_5","type":5,"block":8,"hp":1500},{"name":"TFT5_Vayne","disname":"U2000102_TFT5_Vayne_16","type":5,"block":5,"hp":650},{"name":"TFT5_Udyr","disname":"U2000170_TFT5_Udyr_8","type":5,"block":5,"hp":1410},{"name":"TFT5_Varus","disname":"U2000458_TFT5_Varus_14","type":5,"block":5,"hp":1080},{"name":"TFT5_Sett","disname":"U2000677_TFT5_Sett_6","type":5,"block":5,"hp":800},{"name":"TFT5_Lulu","disname":"U2000778_TFT5_Lulu_9","type":5,"block":5,"hp":650},{"name":"TFT5_Zyra","disname":"U2000861_TFT5_Zyra_6","type":5,"block":5,"hp":600},{"name":"TFT5_Aatrox","disname":"U2000075_TFT5_Aatrox_12","type":5,"block":2,"hp":1170},{"name":"TFT5_Kled","disname":"U2000247_TFT5_Kled_13","type":5,"block":2,"hp":1296},{"name":"TFT5_Kalista","disname":"U2000421_TFT5_Kalista_15","type":5,"block":2,"hp":1050},{"name":"TFT5_Sejuani","disname":"U2000586_TFT5_Sejuani_6","type":5,"block":2,"hp":750},{"name":"TFT5_Tristana","disname":"U2000736_TFT5_Tristana_9","type":5,"block":2,"hp":990},{"name":"TFT5_Draven","disname":"U2001078_TFT5_Draven_3","type":5,"block":2,"hp":700},{"name":"TFT5_Senna","disname":"U2000387_TFT5_Senna_12","type":5,"block":1,"hp":900},{"name":"TFT5_Olaf","disname":"U2000397_TFT5_Olaf_12","type":5,"block":1,"hp":1320},{"name":"TFT5_Pyke","disname":"U2000580_TFT5_Pyke_4","type":5,"block":1,"hp":1170},{"name":"TFT5_Irelia","disname":"U2000694_TFT5_Irelia_10","type":5,"block":1,"hp":1350},{"name":"TFT5_Karma","disname":"U2000974_TFT5_Karma_2","type":5,"block":1,"hp":700},{"name":"TFT5_Fiddlesticks","disname":"U2001066_TFT5_Fiddlesticks_3","type":5,"block":1,"hp":800},{"name":"TFT5_Aatrox","disname":"U2000100_TFT5_Aatrox_10","type":5,"block":0,"hp":1170},{"name":"TFT5_Leona","disname":"U2000143_TFT5_Leona_13","type":5,"block":0,"hp":1260},{"name":"TFT5_Khazix","disname":"U2000244_TFT5_Khazix_7","type":5,"block":0,"hp":900},{"name":"TFT5_Poppy","disname":"U2000297_TFT5_Poppy_12","type":5,"block":0,"hp":1080},{"name":"TFT5_Varus","disname":"U2000467_TFT5_Varus_8","type":5,"block":0,"hp":600},{"name":"TFT5_Riven","disname":"U2000743_TFT5_Riven_4","type":5,"block":0,"hp":800},{"name":"TFT5_Vayne","disname":"U2000109_TFT5_Vayne_8","type":5,"block":6,"hp":900},{"name":"TFT5_Leona","disname":"U2000136_TFT5_Leona_8","type":5,"block":6,"hp":1260},{"name":"TFT5_Khazix","disname":"U2000235_TFT5_Khazix_10","type":5,"block":6,"hp":900},{"name":"TFT5_Gragas","disname":"U2000333_TFT5_Gragas_10","type":5,"block":6,"hp":1350},{"name":"TFT5_Varus","disname":"U2000468_TFT5_Varus_3","type":5,"block":6,"hp":1080},{"name":"TFT5_Thresh","disname":"U2000649_TFT5_Thresh_4","type":5,"block":6,"hp":1440},{"name":"TFT5_DraconicEgg","disname":"U2001443_TFT5_DraconicEgg_1","type":5,"block":5,"hp":2},{"name":"TFT5_EmblemArmoryKey","disname":"U2001450_TFT5_EmblemArmoryKey_1","type":5,"block":5,"hp":10},{"name":"TFT5_Sejuani","disname":"U2000588_TFT5_Sejuani_1","type":5,"block":7,"hp":750}]}</t>
  </si>
  <si>
    <t>{"success":true,"code":200,"msg":"鎴愬姛","data":[{"isme":true,"zt":5,"name":"TFTChampion","disname":"AlphaChess","type":3,"block":7,"hp":100},{"fit":0,"name":"TFTChampion","disname":"llrwlrwlrw","type":3,"block":8,"hp":100},{"fit":0,"name":"TFTChampion","disname":"棰嗗煙姝﹀櫒","type":3,"block":5,"hp":100},{"fit":0,"name":"TFTChampion","disname":"涓剁敎鍛冲讥婕付","type":3,"block":2,"hp":100},{"fit":0,"name":"TFTChampion","disname":"閱夊€惧煄涓禗evil","type":3,"block":1,"hp":100},{"fit":0,"name":"TFTChampion","disname":"18yyyyyy","type":3,"block":0,"hp":100},{"fit":0,"name":"TFTChampion","disname":"绔瑰叞1","type":3,"block":3,"hp":100},{"fit":0,"name":"TFTChampion","disname":"姝ょ敓鎸氱埍钑惧閰?,"type":3,"block":6,"hp":100},{"name":"TFT5_Kalista","disname":"U2000421_TFT5_Kalista_2","type":5,"block":7,"hp":500},{"name":"TFT5_Vayne","disname":"U2000102_TFT5_Vayne_2","type":5,"block":8,"hp":500},{"name":"TFT5_Senna","disname":"U2000363_TFT5_Senna_2","type":5,"block":5,"hp":650},{"name":"TFT5_Olaf","disname":"U2000392_TFT5_Olaf_2","type":5,"block":2,"hp":650},{"name":"TFT5_Vladimir","disname":"U2000189_TFT5_Vladimir_2","type":5,"block":1,"hp":650},{"name":"TFT5_Ziggs","disname":"U2000334_TFT5_Ziggs_2","type":5,"block":0,"hp":450},{"name":"TFT5_Khazix","disname":"U2000218_TFT5_Khazix_2","type":5,"block":3,"hp":500},{"name":"TFT5_Aatrox","disname":"U2000073_TFT5_Aatrox_2","type":5,"block":6,"hp":650}]}</t>
  </si>
  <si>
    <t>{"success":true,"code":200,"msg":"鎴愬姛","data":["TFT5_Hecarim","TFT5_Senna","TFT5_Kennen","TFT5_LeeSin","TFT5_Irelia"]}</t>
  </si>
  <si>
    <t>{"success":true,"code":200,"msg":"鎴愬姛","data":[{"name":"TFT5_Senna","disname":"U2000388_TFT5_Senna_16","type":5,"block":0,"hp":320.652},{"name":"TFT5_Pyke","disname":"U2000570_TFT5_Pyke_9","type":5,"block":0,"hp":324.615},{"name":"TFT5_Aatrox","disname":"U2000084_TFT5_Aatrox_12","type":5,"block":3,"hp":8.88709},{"name":"TFT5_Leona","disname":"U2000131_TFT5_Leona_16","type":5,"block":3,"hp":4.94128},{"name":"TFT5_Nocturne","disname":"U2000950_TFT5_Nocturne_4","type":5,"block":7,"hp":102.882},{"isme":true,"zt":5,"name":"TFTChampion","disname":"AlphaChess","type":3,"block":2,"hp":25},{"fit":0,"name":"TFTChampion","disname":"鐭冲ご鐨勯€嗚","type":3,"block":7,"hp":62},{"fit":1,"name":"TFTChampion","disname":"闇哥帇鏆楁殫","type":3,"block":8,"hp":72},{"fit":0,"name":"TFTChampion","disname":"璁叉晠浜嬬粰浣犲惉闃?,"type":3,"block":5,"hp":88},{"fit":0,"name":"TFTChampion","disname":"瀛﹀尰鐏晳涓嶄簡闃熷弸","type":3,"block":1,"hp":90},{"fit":0,"name":"TFTChampion","disname":"闃胯偉甯﹁妭濂?,"type":3,"block":0,"hp":72},{"fit":0,"name":"TFTChampion","disname":"鏆楃绁炵畻","type":3,"block":3,"hp":74},{"fit":1,"name":"TFTChampion","disname":"涓€鍙堕娣?,"type":3,"block":6,"hp":82},{"name":"TFT5_Varus","disname":"U2000467_TFT5_Varus_2","type":5,"block":3,"hp":600},{"name":"TFT5_Aatrox","disname":"U2000075_TFT5_Aatrox_1","type":5,"block":1,"hp":650},{"name":"TFT5_Rakan","disname":"U2000818_TFT5_Rakan_2","type":5,"block":7,"hp":800},{"name":"TFT5_Aatrox","disname":"U2000101_TFT5_Aatrox_4","type":5,"block":7,"hp":650},{"name":"TFT5_Irelia","disname":"U2000710_TFT5_Irelia_1","type":5,"block":3,"hp":750},{"name":"TFT5_Nautilus","disname":"U2000643_TFT5_Nautilus_5","type":5,"block":1,"hp":750},{"name":"TFT5_Khazix","disname":"U2000225_TFT5_Khazix_2","type":5,"block":8,"hp":500},{"name":"TFT5_Senna","disname":"U2000373_TFT5_Senna_1","type":5,"block":5,"hp":500},{"name":"TFT5_Olaf","disname":"U2000394_TFT5_Olaf_3","type":5,"block":7,"hp":1170},{"name":"TFT5_Yasuo","disname":"U2000911_TFT5_Yasuo_8","type":5,"block":7,"hp":800},{"name":"TFT5_Ashe","disname":"U2000828_TFT5_Ashe_1","type":5,"block":3,"hp":600},{"name":"TFT5_Irelia","disname":"U2000698_TFT5_Irelia_1","type":5,"block":7,"hp":750},{"name":"TFT5_Syndra","disname":"U2000497_TFT5_Syndra_1","type":5,"block":1,"hp":600},{"name":"TFT5_Nautilus","disname":"U2000631_TFT5_Nautilus_1","type":5,"block":0,"hp":750},{"name":"TFT5_Ashe","disname":"U2000831_TFT5_Ashe_1","type":5,"block":3,"hp":600},{"name":"TFT5_LeeSin","disname":"U2000759_TFT5_LeeSin_1","type":5,"block":8,"hp":800},{"name":"TFT5_Pyke","disname":"U2000567_TFT5_Pyke_1","type":5,"block":8,"hp":650},{"name":"TFT5_Olaf","disname":"U2000393_TFT5_Olaf_1","type":5,"block":5,"hp":1170},{"name":"TFT5_Riven","disname":"U2000755_TFT5_Riven_1","type":5,"block":0,"hp":800},{"name":"TFT5_Varus","disname":"U2000456_TFT5_Varus_1","type":5,"block":1,"hp":600},{"name":"TFT5_Nautilus","disname":"U2000642_TFT5_Nautilus_1","type":5,"block":0,"hp":750},{"name":"TFT5_Varus","disname":"U2000451_TFT5_Varus_14","type":5,"block":3,"hp":600},{"name":"TFT5_Olaf","disname":"U2000399_TFT5_Olaf_16","type":5,"block":0,"hp":650},{"name":"TFT5_Rakan","disname":"U2000821_TFT5_Rakan_4","type":5,"block":0,"hp":800},{"name":"TFT5_Gragas","disname":"U2000310_TFT5_Gragas_12","type":5,"block":2,"hp":750},{"name":"TFT5_Gragas","disname":"U2000323_TFT5_Gragas_4","type":5,"block":2,"hp":750},{"name":"TFT5_Sett","disname":"U2000690_TFT5_Sett_8","type":5,"block":2,"hp":800},{"name":"TFT5_Nunu","disname":"U2000865_TFT5_Nunu_4","type":5,"block":2,"hp":900},{"name":"TFT5_Khazix","disname":"U2000234_TFT5_Khazix_14","type":5,"block":7,"hp":500},{"name":"TFT5_Pyke","disname":"U2000564_TFT5_Pyke_13","type":5,"block":7,"hp":650},{"name":"TFT5_Brand","disname":"U2000529_TFT5_Brand_1","type":5,"block":2,"hp":1080},{"name":"TFT5_Aphelios","disname":"U2001053_TFT5_Aphelios_1","type":5,"block":3,"hp":650},{"name":"TFT5_Varus","disname":"U2000466_TFT5_Varus_1","type":5,"block":3,"hp":600},{"name":"TFT5_Vladimir","disname":"U2000215_TFT5_Vladimir_1","type":5,"block":8,"hp":650},{"name":"TFT5_Rakan","disname":"U2000812_TFT5_Rakan_1","type":5,"block":7,"hp":800},{"name":"TFT5_Vayne","disname":"U2000127_TFT5_Vayne_1","type":5,"block":0,"hp":500},{"name":"TFT5_Thresh","disname":"U2000660_TFT5_Thresh_1","type":5,"block":0,"hp":800},{"name":"TFT5_Leona","disname":"U2000148_TFT5_Leona_1","type":5,"block":2,"hp":700},{"name":"TFT5_Kled","disname":"U2000250_TFT5_Kled_1","type":5,"block":2,"hp":400},{"name":"TFT5_Varus","disname":"U2000458_TFT5_Varus_1","type":5,"block":2,"hp":1080},{"name":"TFT5_Aatrox","disname":"U2000078_TFT5_Aatrox_8","type":5,"block":7,"hp":650},{"name":"TFT5_Udyr","disname":"U2000174_TFT5_Udyr_11","type":5,"block":7,"hp":1260},{"name":"TFT5_Kalista","disname":"U2000444_TFT5_Kalista_15","type":5,"block":7,"hp":900},{"name":"TFT5_Irelia","disname":"U2000700_TFT5_Irelia_8","type":5,"block":7,"hp":750},{"name":"TFT5_Yasuo","disname":"U2000914_TFT5_Yasuo_12","type":5,"block":7,"hp":800},{"name":"TFT5_Vladimir","disname":"U2000211_TFT5_Vladimir_13","type":5,"block":8,"hp":650},{"name":"TFT5_Khazix","disname":"U2000234_TFT5_Khazix_17","type":5,"block":8,"hp":900},{"name":"TFT5_Pyke","disname":"U2000564_TFT5_Pyke_16","type":5,"block":8,"hp":1170},{"name":"TFT5_Sejuani","disname":"U2000593_TFT5_Sejuani_7","type":5,"block":8,"hp":750},{"name":"TFT5_Nocturne","disname":"U2000950_TFT5_Nocturne_7","type":5,"block":8,"hp":650},{"name":"TFT5_Udyr","disname":"U2000162_TFT5_Udyr_17","type":5,"block":5,"hp":1260},{"name":"TFT5_Senna","disname":"U2000388_TFT5_Senna_18","type":5,"block":5,"hp":900},{"name":"TFT5_Olaf","disname":"U2000399_TFT5_Olaf_18","type":5,"block":5,"hp":1170},{"name":"TFT5_Pyke","disname":"U2000570_TFT5_Pyke_11","type":5,"block":5,"hp":1170},{"name":"TFT5_Sett","disname":"U2000682_TFT5_Sett_6","type":5,"block":5,"hp":1440},{"name":"TFT5_Rakan","disname":"U2000821_TFT5_Rakan_6","type":5,"block":5,"hp":800},{"name":"TFT5_Poppy","disname":"U2000296_TFT5_Poppy_10","type":5,"block":2,"hp":1080},{"name":"TFT5_Riven","disname":"U2000738_TFT5_Riven_4","type":5,"block":2,"hp":950},{"name":"TFT5_Zyra","disname":"U2000863_TFT5_Zyra_15","type":5,"block":2,"hp":600},{"name":"TFT5_Nocturne","disname":"U2000945_TFT5_Nocturne_13","type":5,"block":2,"hp":650},{"name":"TFT5_Aatrox","disname":"U2000084_TFT5_Aatrox_15","type":5,"block":1,"hp":650},{"name":"TFT5_Leona","disname":"U2000131_TFT5_Leona_19","type":5,"block":1,"hp":1260},{"name":"TFT5_Varus","disname":"U2000451_TFT5_Varus_17","type":5,"block":1,"hp":600},{"name":"TFT5_Nautilus","disname":"U2000636_TFT5_Nautilus_3","type":5,"block":1,"hp":750},{"name":"TFT5_Thresh","disname":"U2000666_TFT5_Thresh_11","type":5,"block":1,"hp":800},{"name":"TFT5_Ashe","disname":"U2000833_TFT5_Ashe_7","type":5,"block":1,"hp":750},{"name":"TFT5_Aatrox","disname":"U2000077_TFT5_Aatrox_15","type":5,"block":0,"hp":1170},{"name":"TFT5_Leona","disname":"U2000157_TFT5_Leona_14","type":5,"block":0,"hp":1260},{"name":"TFT5_Kalista","disname":"U2000421_TFT5_Kalista_17","type":5,"block":0,"hp":900},{"name":"TFT5_Syndra","disname":"U2000502_TFT5_Syndra_3","type":5,"block":0,"hp":600},{"name":"TFT5_Thresh","disname":"U2000664_TFT5_Thresh_6","type":5,"block":0,"hp":1440},{"name":"TFT5_Vayne","disname":"U2000124_TFT5_Vayne_9","type":5,"block":3,"hp":900},{"name":"TFT5_Hecarim","disname":"U2000548_TFT5_Hecarim_14","type":5,"block":3,"hp":1350},{"name":"TFT5_Sejuani","disname":"U2000596_TFT5_Sejuani_14","type":5,"block":3,"hp":750},{"name":"TFT5_Gragas","disname":"U2000310_TFT5_Gragas_15","type":5,"block":6,"hp":1750},{"name":"TFT5_Gragas","disname":"U2000323_TFT5_Gragas_7","type":5,"block":6,"hp":1350},{"name":"TFT5_Sett","disname":"U2000690_TFT5_Sett_11","type":5,"block":6,"hp":1840},{"name":"TFT5_Rakan","disname":"U2000822_TFT5_Rakan_13","type":5,"block":6,"hp":800},{"name":"TFT5_Nunu","disname":"U2000865_TFT5_Nunu_7","type":5,"block":6,"hp":1300},{"name":"TFT5_Nidalee","disname":"U2000893_TFT5_Nidalee_5","type":5,"block":6,"hp":750},{"name":"TFT5_Lux","disname":"U2000802_TFT5_Lux_2","type":5,"block":7,"hp":600},{"name":"TFT5_Brand","disname":"U2000525_TFT5_Brand_2","type":5,"block":2,"hp":600},{"name":"TFT5_Fiddlesticks","disname":"U2001063_TFT5_Fiddlesticks_2","type":5,"block":0,"hp":800},{"name":"TFT5_Draven","disname":"U2001075_TFT5_Draven_2","type":5,"block":6,"hp":850},{"name":"TFT5_Rakan","disname":"U2000820_TFT5_Rakan_1","type":5,"block":5,"hp":800},{"name":"TFT5_LeeSin","disname":"U2000758_TFT5_LeeSin_1","type":5,"block":8,"hp":800},{"name":"TFT5_Lulu","disname":"U2000777_TFT5_Lulu_1","type":5,"block":2,"hp":650},{"name":"TFT5_Nidalee","disname":"U2000891_TFT5_Nidalee_3","type":5,"block":2,"hp":750}]}</t>
  </si>
  <si>
    <t>{"success":true,"code":200,"msg":"鎴愬姛","data":["Sold","Sold","Sold","TFT5_Syndra","TFT5_Lux"]}</t>
  </si>
  <si>
    <t>{"success":true,"code":200,"msg":"鎴愬姛","data":[{"isme":true,"zt":5,"fit":0,"name":"TFTChampion","disname":"AlphaChess","type":3,"block":8,"hp":19},{"fit":1,"name":"TFTChampion","disname":"绮夎壊686","type":3,"block":7,"hp":31},{"fit":1,"name":"TFTChampion","disname":"ChowShing","type":3,"block":5,"hp":100},{"fit":2,"name":"TFTChampion","disname":"缇芥椂钀界窘娓?,"type":3,"block":2,"hp":67},{"fit":1,"name":"TFTChampion","disname":"EvaPbe","type":3,"block":1,"hp":47},{"fit":3,"name":"TFTChampion","disname":"涓垮皬娉ュ反Burton","type":3,"block":0,"hp":45},{"fit":2,"name":"TFTChampion","disname":"DULANTEI","type":3,"block":3,"hp":82},{"fit":2,"name":"TFTChampion","disname":"閬囧ス涓囧垢","type":3,"block":6,"hp":36},{"name":"TFT5_Senna","disname":"U2000387_TFT5_Senna_1","type":5,"block":7,"hp":500},{"name":"TFT5_Pyke","disname":"U2000576_TFT5_Pyke_1","type":5,"block":7,"hp":650},{"name":"TFT5_Pyke","disname":"U2000563_TFT5_Pyke_5","type":5,"block":0,"hp":1170},{"name":"TFT5_Vladimir","disname":"U2000216_TFT5_Vladimir_1","type":5,"block":1,"hp":650},{"name":"TFT5_Sejuani","disname":"U2000591_TFT5_Sejuani_1","type":5,"block":3,"hp":750},{"name":"TFT5_Zyra","disname":"U2000846_TFT5_Zyra_1","type":5,"block":0,"hp":1080},{"name":"TFT5_Velkoz","disname":"U2001006_TFT5_Velkoz_1","type":5,"block":2,"hp":700},{"name":"TFT5_Vladimir","disname":"U2000198_TFT5_Vladimir_1","type":5,"block":3,"hp":650},{"name":"TFT5_Senna","disname":"U2000367_TFT5_Senna_10","type":5,"block":7,"hp":500},{"name":"TFT5_Khazix","disname":"U2000233_TFT5_Khazix_1","type":5,"block":2,"hp":500},{"name":"TFT5_Galio","disname":"U2001034_TFT5_Galio_1","type":5,"block":0,"hp":1000},{"name":"TFT5_MissFortune","disname":"U2000922_TFT5_MissFortune_9","type":5,"block":7,"hp":700},{"name":"TFT5_Lucian","disname":"U2000980_TFT5_Lucian_4","type":5,"block":0,"hp":700},{"name":"TFT5_Gragas","disname":"U2000318_TFT5_Gragas_4","type":5,"block":2,"hp":1350},{"name":"TFT5_Galio","disname":"U2001028_TFT5_Galio_1","type":5,"block":0,"hp":1000},{"name":"TFT5_Udyr","disname":"U2000169_TFT5_Udyr_1","type":5,"block":0,"hp":700},{"name":"TFT5_Udyr","disname":"U2000162_TFT5_Udyr_1","type":5,"block":6,"hp":700},{"name":"TFT5_DraconicEgg","disname":"U2001566_TFT5_DraconicEgg_1","type":5,"block":0,"hp":2},{"name":"TFT5_Gragas","disname":"U2000324_TFT5_Gragas_1","type":5,"block":2,"hp":750},{"name":"TFT5_Kalista","disname":"U2000442_TFT5_Kalista_1","type":5,"block":2,"hp":500},{"name":"TFT5_Ashe","disname":"U2000828_TFT5_Ashe_1","type":5,"block":2,"hp":600},{"name":"TFT5_Yasuo","disname":"U2000900_TFT5_Yasuo_1","type":5,"block":3,"hp":800},{"name":"TFT5_Sejuani","disname":"U2000588_TFT5_Sejuani_1","type":5,"block":1,"hp":750},{"name":"TFT5_Olaf","disname":"U2000411_TFT5_Olaf_1","type":5,"block":7,"hp":650},{"name":"TFT5_Rakan","disname":"U2000826_TFT5_Rakan_1","type":5,"block":7,"hp":800},{"name":"TFT5_Tristana","disname":"U2000730_TFT5_Tristana_1","type":5,"block":7,"hp":550},{"name":"TFT5_Tristana","disname":"U2000723_TFT5_Tristana_1","type":5,"block":7,"hp":550},{"name":"TFT5_Sejuani","disname":"U2000602_TFT5_Sejuani_1","type":5,"block":1,"hp":750},{"name":"TFT5_Sett","disname":"U2000690_TFT5_Sett_1","type":5,"block":1,"hp":800},{"name":"TFT5_Jax","disname":"U2000958_TFT5_Jax_1","type":5,"block":6,"hp":950},{"name":"TFT5_Sejuani","disname":"U2000603_TFT5_Sejuani_1","type":5,"block":8,"hp":750},{"name":"TFT5_Vayne","disname":"U2000115_TFT5_Vayne_15","type":5,"block":7,"hp":900},{"name":"TFT5_Olaf","disname":"U2000413_TFT5_Olaf_5","type":5,"block":7,"hp":1170},{"name":"TFT5_Varus","disname":"U2000452_TFT5_Varus_8","type":5,"block":7,"hp":1080},{"name":"TFT5_Irelia","disname":"U2000712_TFT5_Irelia_9","type":5,"block":7,"hp":750},{"name":"TFT5_Tristana","disname":"U2000720_TFT5_Tristana_5","type":5,"block":7,"hp":990},{"name":"TFT5_Rakan","disname":"U2000825_TFT5_Rakan_17","type":5,"block":7,"hp":1440},{"name":"TFT5_Poppy","disname":"U2000296_TFT5_Poppy_23","type":5,"block":8,"hp":1080},{"name":"TFT5_Senna","disname":"U2000363_TFT5_Senna_26","type":5,"block":8,"hp":900},{"name":"TFT5_Syndra","disname":"U2000496_TFT5_Syndra_18","type":5,"block":8,"hp":600},{"name":"TFT5_Sejuani","disname":"U2000596_TFT5_Sejuani_24","type":5,"block":8,"hp":750},{"name":"TFT5_Rell","disname":"U2000997_TFT5_Rell_10","type":5,"block":8,"hp":900},{"name":"TFT5_Olaf","disname":"U2000410_TFT5_Olaf_17","type":5,"block":5,"hp":2320},{"name":"TFT5_Sejuani","disname":"U2000583_TFT5_Sejuani_4","type":5,"block":5,"hp":750},{"name":"TFT5_Irelia","disname":"U2000706_TFT5_Irelia_11","type":5,"block":5,"hp":750},{"name":"TFT5_LeeSin","disname":"U2000767_TFT5_LeeSin_7","type":5,"block":5,"hp":800},{"name":"TFT5_Yasuo","disname":"U2000904_TFT5_Yasuo_2","type":5,"block":5,"hp":800},{"name":"TFT5_MissFortune","disname":"U2000920_TFT5_MissFortune_2","type":5,"block":5,"hp":850},{"name":"TFT5_Lucian","disname":"U2000989_TFT5_Lucian_2","type":5,"block":5,"hp":700},{"name":"TFT5_Khazix","disname":"U2000218_TFT5_Khazix_23","type":5,"block":2,"hp":900},{"name":"TFT5_Gragas","disname":"U2000327_TFT5_Gragas_21","type":5,"block":2,"hp":1750},{"name":"TFT5_Kalista","disname":"U2000435_TFT5_Kalista_15","type":5,"block":2,"hp":900},{"name":"TFT5_Brand","disname":"U2000527_TFT5_Brand_19","type":5,"block":2,"hp":1080},{"name":"TFT5_Nunu","disname":"U2000878_TFT5_Nunu_19","type":5,"block":2,"hp":2020},{"name":"TFT5_Fiddlesticks","disname":"U2001070_TFT5_Fiddlesticks_2","type":5,"block":2,"hp":800},{"name":"TFT5_Vladimir","disname":"U2000192_TFT5_Vladimir_16","type":5,"block":1,"hp":650},{"name":"TFT5_Gragas","disname":"U2000325_TFT5_Gragas_12","type":5,"block":1,"hp":1750},{"name":"TFT5_Soraka","disname":"U2000473_TFT5_Soraka_4","type":5,"block":1,"hp":990},{"name":"TFT5_Hecarim","disname":"U2000547_TFT5_Hecarim_12","type":5,"block":1,"hp":1350},{"name":"TFT5_Sejuani","disname":"U2000586_TFT5_Sejuani_16","type":5,"block":1,"hp":2350},{"name":"TFT5_Sett","disname":"U2000679_TFT5_Sett_2","type":5,"block":1,"hp":2440},{"name":"TFT5_Nunu","disname":"U2000872_TFT5_Nunu_6","type":5,"block":1,"hp":1900},{"name":"TFT5_Udyr","disname":"U2000167_TFT5_Udyr_15","type":5,"block":0,"hp":1260},{"name":"TFT5_Senna","disname":"U2000390_TFT5_Senna_11","type":5,"block":0,"hp":900},{"name":"TFT5_Olaf","disname":"U2000392_TFT5_Olaf_22","type":5,"block":0,"hp":1170},{"name":"TFT5_Sett","disname":"U2000682_TFT5_Sett_3","type":5,"block":0,"hp":1440},{"name":"TFT5_Irelia","disname":"U2000697_TFT5_Irelia_15","type":5,"block":0,"hp":1350},{"name":"TFT5_Ashe","disname":"U2000830_TFT5_Ashe_15","type":5,"block":0,"hp":1080},{"name":"TFT5_Vladimir","disname":"U2000208_TFT5_Vladimir_15","type":5,"block":3,"hp":1170},{"name":"TFT5_Sejuani","disname":"U2000597_TFT5_Sejuani_10","type":5,"block":3,"hp":900},{"name":"TFT5_LeeSin","disname":"U2000772_TFT5_LeeSin_15","type":5,"block":3,"hp":1590},{"name":"TFT5_Yasuo","disname":"U2000902_TFT5_Yasuo_15","type":5,"block":3,"hp":1440},{"name":"TFT5_Diana","disname":"U2001016_TFT5_Diana_10","type":5,"block":3,"hp":750},{"name":"TFT5_Aphelios","disname":"U2001057_TFT5_Aphelios_5","type":5,"block":3,"hp":650},{"name":"TFT5_Udyr","disname":"U2000184_TFT5_Udyr_22","type":5,"block":6,"hp":1260},{"name":"TFT5_Sett","disname":"U2000680_TFT5_Sett_9","type":5,"block":6,"hp":800},{"name":"TFT5_Jax","disname":"U2000963_TFT5_Jax_9","type":5,"block":6,"hp":1710},{"name":"TFT5_Rell","disname":"U2000991_TFT5_Rell_9","type":5,"block":6,"hp":900},{"name":"TFT5_Diana","disname":"U2001020_TFT5_Diana_7","type":5,"block":6,"hp":1500},{"name":"TFT5_Fiddlesticks","disname":"U2001073_TFT5_Fiddlesticks_9","type":5,"block":6,"hp":800},{"name":"TFT5_Viego","disname":"U2001093_TFT5_Viego_3","type":5,"block":6,"hp":1000},{"name":"TFT5_DraconicEgg","disname":"U2001730_TFT5_DraconicEgg_1","type":5,"block":0,"hp":3}]}</t>
  </si>
  <si>
    <t>{"success":true,"code":200,"msg":"鎴愬姛","data":[{"isme":true,"zt":5,"fit":0,"name":"TFTChampion","disname":"AlphaChess","type":3,"block":8,"hp":19},{"fit":1,"name":"TFTChampion","disname":"绮夎壊686","type":3,"block":7,"hp":31},{"fit":1,"name":"TFTChampion","disname":"ChowShing","type":3,"block":5,"hp":100},{"fit":2,"name":"TFTChampion","disname":"缇芥椂钀界窘娓?,"type":3,"block":2,"hp":67},{"fit":1,"name":"TFTChampion","disname":"EvaPbe","type":3,"block":1,"hp":47},{"fit":3,"name":"TFTChampion","disname":"涓垮皬娉ュ反Burton","type":3,"block":0,"hp":45},{"fit":2,"name":"TFTChampion","disname":"DULANTEI","type":3,"block":3,"hp":82},{"fit":2,"name":"TFTChampion","disname":"閬囧ス涓囧垢","type":3,"block":6,"hp":36},{"name":"TFT5_Senna","disname":"U2000387_TFT5_Senna_1","type":5,"block":7,"hp":500},{"name":"TFT5_Pyke","disname":"U2000576_TFT5_Pyke_1","type":5,"block":7,"hp":650},{"name":"TFT5_Pyke","disname":"U2000563_TFT5_Pyke_5","type":5,"block":0,"hp":1170},{"name":"TFT5_Vladimir","disname":"U2000216_TFT5_Vladimir_1","type":5,"block":1,"hp":650},{"name":"TFT5_Sejuani","disname":"U2000591_TFT5_Sejuani_1","type":5,"block":3,"hp":750},{"name":"TFT5_Zyra","disname":"U2000846_TFT5_Zyra_1","type":5,"block":0,"hp":1080},{"name":"TFT5_Velkoz","disname":"U2001006_TFT5_Velkoz_1","type":5,"block":2,"hp":700},{"name":"TFT5_Vladimir","disname":"U2000198_TFT5_Vladimir_1","type":5,"block":3,"hp":650},{"name":"TFT5_Senna","disname":"U2000367_TFT5_Senna_10","type":5,"block":7,"hp":500},{"name":"TFT5_Khazix","disname":"U2000233_TFT5_Khazix_1","type":5,"block":2,"hp":500},{"name":"TFT5_Galio","disname":"U2001034_TFT5_Galio_1","type":5,"block":0,"hp":1000},{"name":"TFT5_MissFortune","disname":"U2000922_TFT5_MissFortune_9","type":5,"block":7,"hp":700},{"name":"TFT5_Lucian","disname":"U2000980_TFT5_Lucian_4","type":5,"block":0,"hp":700},{"name":"TFT5_Gragas","disname":"U2000318_TFT5_Gragas_4","type":5,"block":2,"hp":1350},{"name":"TFT5_Galio","disname":"U2001028_TFT5_Galio_1","type":5,"block":0,"hp":1000},{"name":"TFT5_Udyr","disname":"U2000169_TFT5_Udyr_1","type":5,"block":0,"hp":700},{"name":"TFT5_Udyr","disname":"U2000162_TFT5_Udyr_1","type":5,"block":6,"hp":700},{"name":"TFT5_Gragas","disname":"U2000324_TFT5_Gragas_1","type":5,"block":2,"hp":750},{"name":"TFT5_Kalista","disname":"U2000442_TFT5_Kalista_1","type":5,"block":2,"hp":500},{"name":"TFT5_Ashe","disname":"U2000828_TFT5_Ashe_1","type":5,"block":2,"hp":600},{"name":"TFT5_Yasuo","disname":"U2000900_TFT5_Yasuo_1","type":5,"block":3,"hp":800},{"name":"TFT5_Sejuani","disname":"U2000588_TFT5_Sejuani_1","type":5,"block":1,"hp":750},{"name":"TFT5_Olaf","disname":"U2000411_TFT5_Olaf_1","type":5,"block":7,"hp":650},{"name":"TFT5_Rakan","disname":"U2000826_TFT5_Rakan_1","type":5,"block":7,"hp":800},{"name":"TFT5_Tristana","disname":"U2000730_TFT5_Tristana_1","type":5,"block":7,"hp":550},{"name":"TFT5_Tristana","disname":"U2000723_TFT5_Tristana_1","type":5,"block":7,"hp":550},{"name":"TFT5_Sejuani","disname":"U2000602_TFT5_Sejuani_1","type":5,"block":1,"hp":750},{"name":"TFT5_Sett","disname":"U2000690_TFT5_Sett_1","type":5,"block":1,"hp":800},{"name":"TFT5_Jax","disname":"U2000958_TFT5_Jax_1","type":5,"block":6,"hp":950},{"name":"TFT5_Sejuani","disname":"U2000603_TFT5_Sejuani_1","type":5,"block":8,"hp":750},{"name":"TFT5_Vayne","disname":"U2000115_TFT5_Vayne_15","type":5,"block":7,"hp":900},{"name":"TFT5_Olaf","disname":"U2000413_TFT5_Olaf_5","type":5,"block":7,"hp":1170},{"name":"TFT5_Varus","disname":"U2000452_TFT5_Varus_8","type":5,"block":7,"hp":1080},{"name":"TFT5_Irelia","disname":"U2000712_TFT5_Irelia_9","type":5,"block":7,"hp":750},{"name":"TFT5_Tristana","disname":"U2000720_TFT5_Tristana_5","type":5,"block":7,"hp":990},{"name":"TFT5_Rakan","disname":"U2000825_TFT5_Rakan_17","type":5,"block":7,"hp":1440},{"name":"TFT5_Poppy","disname":"U2000296_TFT5_Poppy_23","type":5,"block":8,"hp":1080},{"name":"TFT5_Senna","disname":"U2000363_TFT5_Senna_26","type":5,"block":8,"hp":900},{"name":"TFT5_Syndra","disname":"U2000496_TFT5_Syndra_18","type":5,"block":8,"hp":600},{"name":"TFT5_Sejuani","disname":"U2000596_TFT5_Sejuani_24","type":5,"block":8,"hp":750},{"name":"TFT5_Rell","disname":"U2000997_TFT5_Rell_10","type":5,"block":8,"hp":900},{"name":"TFT5_Olaf","disname":"U2000410_TFT5_Olaf_17","type":5,"block":5,"hp":2320},{"name":"TFT5_Sejuani","disname":"U2000583_TFT5_Sejuani_4","type":5,"block":5,"hp":750},{"name":"TFT5_Irelia","disname":"U2000706_TFT5_Irelia_11","type":5,"block":5,"hp":750},{"name":"TFT5_LeeSin","disname":"U2000767_TFT5_LeeSin_7","type":5,"block":5,"hp":800},{"name":"TFT5_Yasuo","disname":"U2000904_TFT5_Yasuo_2","type":5,"block":5,"hp":800},{"name":"TFT5_MissFortune","disname":"U2000920_TFT5_MissFortune_2","type":5,"block":5,"hp":850},{"name":"TFT5_Lucian","disname":"U2000989_TFT5_Lucian_2","type":5,"block":5,"hp":700},{"name":"TFT5_Khazix","disname":"U2000218_TFT5_Khazix_23","type":5,"block":2,"hp":900},{"name":"TFT5_Gragas","disname":"U2000327_TFT5_Gragas_21","type":5,"block":2,"hp":1750},{"name":"TFT5_Kalista","disname":"U2000435_TFT5_Kalista_15","type":5,"block":2,"hp":900},{"name":"TFT5_Brand","disname":"U2000527_TFT5_Brand_19","type":5,"block":2,"hp":1080},{"name":"TFT5_Nunu","disname":"U2000878_TFT5_Nunu_19","type":5,"block":2,"hp":2020},{"name":"TFT5_Fiddlesticks","disname":"U2001070_TFT5_Fiddlesticks_2","type":5,"block":2,"hp":800},{"name":"TFT5_Vladimir","disname":"U2000192_TFT5_Vladimir_16","type":5,"block":1,"hp":650},{"name":"TFT5_Gragas","disname":"U2000325_TFT5_Gragas_12","type":5,"block":1,"hp":1750},{"name":"TFT5_Soraka","disname":"U2000473_TFT5_Soraka_4","type":5,"block":1,"hp":990},{"name":"TFT5_Hecarim","disname":"U2000547_TFT5_Hecarim_12","type":5,"block":1,"hp":1350},{"name":"TFT5_Sejuani","disname":"U2000586_TFT5_Sejuani_16","type":5,"block":1,"hp":2350},{"name":"TFT5_Sett","disname":"U2000679_TFT5_Sett_2","type":5,"block":1,"hp":2440},{"name":"TFT5_Nunu","disname":"U2000872_TFT5_Nunu_6","type":5,"block":1,"hp":1900},{"name":"TFT5_Udyr","disname":"U2000167_TFT5_Udyr_15","type":5,"block":0,"hp":1260},{"name":"TFT5_Senna","disname":"U2000390_TFT5_Senna_11","type":5,"block":0,"hp":900},{"name":"TFT5_Olaf","disname":"U2000392_TFT5_Olaf_22","type":5,"block":0,"hp":1170},{"name":"TFT5_Sett","disname":"U2000682_TFT5_Sett_3","type":5,"block":0,"hp":1440},{"name":"TFT5_Irelia","disname":"U2000697_TFT5_Irelia_15","type":5,"block":0,"hp":1350},{"name":"TFT5_Ashe","disname":"U2000830_TFT5_Ashe_15","type":5,"block":0,"hp":1080},{"name":"TFT5_Vladimir","disname":"U2000208_TFT5_Vladimir_15","type":5,"block":3,"hp":1170},{"name":"TFT5_Sejuani","disname":"U2000597_TFT5_Sejuani_10","type":5,"block":3,"hp":900},{"name":"TFT5_LeeSin","disname":"U2000772_TFT5_LeeSin_15","type":5,"block":3,"hp":1590},{"name":"TFT5_Yasuo","disname":"U2000902_TFT5_Yasuo_15","type":5,"block":3,"hp":1440},{"name":"TFT5_Diana","disname":"U2001016_TFT5_Diana_10","type":5,"block":3,"hp":750},{"name":"TFT5_Aphelios","disname":"U2001057_TFT5_Aphelios_5","type":5,"block":3,"hp":800},{"name":"TFT5_Udyr","disname":"U2000184_TFT5_Udyr_22","type":5,"block":6,"hp":1260},{"name":"TFT5_Sett","disname":"U2000680_TFT5_Sett_9","type":5,"block":6,"hp":800},{"name":"TFT5_Jax","disname":"U2000963_TFT5_Jax_9","type":5,"block":6,"hp":1710},{"name":"TFT5_Rell","disname":"U2000991_TFT5_Rell_9","type":5,"block":6,"hp":900},{"name":"TFT5_Diana","disname":"U2001020_TFT5_Diana_7","type":5,"block":6,"hp":1500},{"name":"TFT5_Fiddlesticks","disname":"U2001073_TFT5_Fiddlesticks_9","type":5,"block":6,"hp":800},{"name":"TFT5_Viego","disname":"U2001093_TFT5_Viego_3","type":5,"block":6,"hp":1000},{"name":"TFT5_DraconicEgg","disname":"U2001730_TFT5_DraconicEgg_1","type":5,"block":0,"hp":3},{"name":"TFT5_Zyra","disname":"U2000861_TFT5_Zyra_1","type":5,"block":0,"hp":600},{"name":"TFT5_Nunu","disname":"U2000879_TFT5_Nunu_1","type":5,"block":2,"hp":900},{"name":"TFT5_Draven","disname":"U2001083_TFT5_Draven_1","type":5,"block":0,"hp":700}]}</t>
  </si>
  <si>
    <t>{"success":true,"code":200,"msg":"鎴愬姛","data":["TFT5_Nocturne","TFT5_Senna","TFT5_Hecarim","TFT5_Sett","TFT5_Ziggs"]}</t>
  </si>
  <si>
    <t>{"success":true,"code":200,"msg":"鎴愬姛","data":[{"isme":true,"zt":5,"fit":0,"name":"TFTChampion","disname":"AlphaChess","type":3,"block":5,"hp":98},{"fit":0,"name":"TFTChampion","disname":"123鑰侀ゥ鑽?,"type":3,"block":7,"hp":98},{"fit":1,"name":"TFTChampion","disname":"灏忔案鎭掍缚","type":3,"block":8,"hp":92},{"fit":0,"name":"TFTChampion","disname":"19涓剁洰鏍囧畬鎴愪竴鍗?,"type":3,"block":2,"hp":94},{"fit":1,"name":"TFTChampion","disname":"fwefwee","type":3,"block":1,"hp":94},{"fit":0,"name":"TFTChampion","disname":"鏄ぇ楣呯殑灏忛箙鍛€","type":3,"block":0,"hp":100},{"fit":0,"name":"TFTChampion","disname":"灏煎簱婊嬩付寰蜂紛婢冲嫆","type":3,"block":3,"hp":86},{"fit":0,"name":"TFTChampion","disname":"鍙欏埄浜氭倣鍖猲b","type":3,"block":6,"hp":100},{"name":"TFT5_Rakan","disname":"U2000819_TFT5_Rakan_1","type":5,"block":5,"hp":800},{"name":"TFT5_Brand","disname":"U2000532_TFT5_Brand_1","type":5,"block":6,"hp":600},{"name":"TFT5_Brand","disname":"U2000519_TFT5_Brand_1","type":5,"block":6,"hp":600},{"name":"TFT5_Aatrox","disname":"U2000091_TFT5_Aatrox_1","type":5,"block":5,"hp":650},{"name":"TFT5_Aatrox","disname":"U2000092_TFT5_Aatrox_1","type":5,"block":5,"hp":650},{"name":"TFT5_Senna","disname":"U2000389_TFT5_Senna_2","type":5,"block":2,"hp":500},{"name":"TFT5_Kennen","disname":"U2000611_TFT5_Kennen_1","type":5,"block":1,"hp":600},{"name":"TFT5_Ziggs","disname":"U2000356_TFT5_Ziggs_1","type":5,"block":1,"hp":450},{"name":"TFT5_Kalista","disname":"U2000449_TFT5_Kalista_1","type":5,"block":8,"hp":500},{"name":"TFT5_Vayne","disname":"U2000110_TFT5_Vayne_5","type":5,"block":8,"hp":500},{"name":"TFT5_Kalista","disname":"U2000443_TFT5_Kalista_4","type":5,"block":8,"hp":500},{"name":"TFT5_Nunu","disname":"U2000867_TFT5_Nunu_4","type":5,"block":8,"hp":900},{"name":"TFT5_Brand","disname":"U2000530_TFT5_Brand_2","type":5,"block":0,"hp":1080},{"name":"TFT5_DraconicEgg","disname":"U2001278_TFT5_DraconicEgg_1","type":5,"block":5,"hp":2},{"name":"TFT5_Gragas","disname":"U2000305_TFT5_Gragas_6","type":5,"block":2,"hp":750},{"name":"TFT5_Kalista","disname":"U2000435_TFT5_Kalista_1","type":5,"block":6,"hp":500},{"name":"TFT5_Poppy","disname":"U2000292_TFT5_Poppy_1","type":5,"block":1,"hp":600},{"name":"TFT5_Syndra","disname":"U2000505_TFT5_Syndra_1","type":5,"block":6,"hp":600},{"name":"TFT5_Varus","disname":"U2000462_TFT5_Varus_1","type":5,"block":5,"hp":600},{"name":"TFT5_Sejuani","disname":"U2000592_TFT5_Sejuani_1","type":5,"block":7,"hp":750},{"name":"TFT5_Vayne","disname":"U2000116_TFT5_Vayne_5","type":5,"block":7,"hp":500},{"name":"TFT5_Hecarim","disname":"U2000556_TFT5_Hecarim_6","type":5,"block":7,"hp":750},{"name":"TFT5_Thresh","disname":"U2000655_TFT5_Thresh_5","type":5,"block":7,"hp":800},{"name":"TFT5_MissFortune","disname":"U2000924_TFT5_MissFortune_3","type":5,"block":7,"hp":700},{"name":"TFT5_Vayne","disname":"U2000102_TFT5_Vayne_6","type":5,"block":8,"hp":500},{"name":"TFT5_Varus","disname":"U2000471_TFT5_Varus_3","type":5,"block":8,"hp":600},{"name":"TFT5_Sejuani","disname":"U2000583_TFT5_Sejuani_3","type":5,"block":8,"hp":750},{"name":"TFT5_Udyr","disname":"U2000165_TFT5_Udyr_4","type":5,"block":5,"hp":700},{"name":"TFT5_Sett","disname":"U2000689_TFT5_Sett_4","type":5,"block":5,"hp":800},{"name":"TFT5_Irelia","disname":"U2000694_TFT5_Irelia_3","type":5,"block":5,"hp":1350},{"name":"TFT5_Ashe","disname":"U2000840_TFT5_Ashe_5","type":5,"block":5,"hp":1080},{"name":"TFT5_Aatrox","disname":"U2000085_TFT5_Aatrox_5","type":5,"block":2,"hp":650},{"name":"TFT5_Gragas","disname":"U2000315_TFT5_Gragas_3","type":5,"block":2,"hp":750},{"name":"TFT5_Nidalee","disname":"U2000889_TFT5_Nidalee_4","type":5,"block":2,"hp":750},{"name":"TFT5_Kled","disname":"U2000257_TFT5_Kled_3","type":5,"block":1,"hp":720},{"name":"TFT5_Ziggs","disname":"U2000334_TFT5_Ziggs_7","type":5,"block":1,"hp":450},{"name":"TFT5_Kennen","disname":"U2000613_TFT5_Kennen_4","type":5,"block":1,"hp":600},{"name":"TFT5_LeeSin","disname":"U2000770_TFT5_LeeSin_5","type":5,"block":1,"hp":800},{"name":"TFT5_Udyr","disname":"U2000188_TFT5_Udyr_5","type":5,"block":0,"hp":700},{"name":"TFT5_Olaf","disname":"U2000410_TFT5_Olaf_6","type":5,"block":0,"hp":650},{"name":"TFT5_Sett","disname":"U2000676_TFT5_Sett_3","type":5,"block":0,"hp":800},{"name":"TFT5_Irelia","disname":"U2000703_TFT5_Irelia_4","type":5,"block":0,"hp":750},{"name":"TFT5_Poppy","disname":"U2000276_TFT5_Poppy_8","type":5,"block":3,"hp":750},{"name":"TFT5_Aatrox","disname":"U2000090_TFT5_Aatrox_5","type":5,"block":6,"hp":650},{"name":"TFT5_Kled","disname":"U2000247_TFT5_Kled_8","type":5,"block":6,"hp":720},{"name":"TFT5_Kalista","disname":"U2000432_TFT5_Kalista_6","type":5,"block":6,"hp":500},{"name":"TFT5_DraconicEgg","disname":"U2001292_TFT5_DraconicEgg_1","type":5,"block":5,"hp":3},{"name":"TFT5_Kled","disname":"U2000253_TFT5_Kled_1","type":5,"block":1,"hp":400},{"name":"TFT5_Kled","disname":"U2000263_TFT5_Kled_1","type":5,"block":1,"hp":400},{"name":"TFT5_Kled","disname":"U2000251_TFT5_Kled_1","type":5,"block":6,"hp":400}]}</t>
  </si>
  <si>
    <t>{"success":true,"code":200,"msg":"鎴愬姛","data":["TFT5_Velkoz","TFT5_Khazix","TFT5_Rakan","TFT5_Nunu","TFT5_Karma"]}</t>
  </si>
  <si>
    <t>{"success":true,"code":200,"msg":"鎴愬姛","data":[{"isme":true,"zt":5,"fit":0,"name":"TFTChampion","disname":"AlphaChess","type":3,"block":3,"hp":100},{"fit":1,"name":"TFTChampion","disname":"蹇冨惉涓舵柀涓剁爫涓跺妶","type":3,"block":7,"hp":60},{"fit":1,"name":"TFTChampion","disname":"AA璇峰彨鍝ュǘ浣?,"type":3,"block":8,"hp":73},{"fit":2,"name":"TFTChampion","disname":"甯稿痉灏忕埛璁╀綘閮侀椃","type":3,"block":5,"hp":53},{"fit":2,"name":"TFTChampion","disname":"璇峰彨鎴戝ぇ鍐涘啗","type":3,"block":2,"hp":40},{"fit":2,"name":"TFTChampion","disname":"浣犳槸妫掓閿?,"type":3,"block":1,"hp":44},{"fit":2,"name":"TFTChampion","disname":"DD杈呭姪鎯砪","type":3,"block":0,"hp":72},{"fit":1,"name":"TFTChampion","disname":"闈栨紶Jungle","type":3,"block":6,"hp":52},{"name":"TFT5_Gragas","disname":"U2000305_TFT5_Gragas_1","type":5,"block":8,"hp":1350},{"name":"TFT5_Yasuo","disname":"U2000901_TFT5_Yasuo_1","type":5,"block":0,"hp":800},{"name":"TFT5_Nautilus","disname":"U2000627_TFT5_Nautilus_1","type":5,"block":5,"hp":750},{"name":"TFT5_Pyke","disname":"U2000562_TFT5_Pyke_1","type":5,"block":5,"hp":1170},{"name":"TFT5_Nautilus","disname":"U2000637_TFT5_Nautilus_1","type":5,"block":5,"hp":750},{"name":"TFT5_Irelia","disname":"U2000703_TFT5_Irelia_1","type":5,"block":0,"hp":750},{"name":"TFT5_Yasuo","disname":"U2000913_TFT5_Yasuo_5","type":5,"block":6,"hp":800},{"name":"TFT5_Yasuo","disname":"U2000911_TFT5_Yasuo_1","type":5,"block":6,"hp":800},{"name":"TFT5_Vladimir","disname":"U2000196_TFT5_Vladimir_1","type":5,"block":2,"hp":650},{"name":"TFT5_Rakan","disname":"U2000827_TFT5_Rakan_2","type":5,"block":3,"hp":800},{"name":"TFT5_Rakan","disname":"U2000815_TFT5_Rakan_3","type":5,"block":3,"hp":800},{"name":"TFT5_Kalista","disname":"U2000435_TFT5_Kalista_1","type":5,"block":6,"hp":900},{"name":"TFT5_Yasuo","disname":"U2000905_TFT5_Yasuo_1","type":5,"block":0,"hp":800},{"name":"TFT5_Khazix","disname":"U2000235_TFT5_Khazix_1","type":5,"block":8,"hp":900},{"name":"TFT5_Nidalee","disname":"U2000882_TFT5_Nidalee_1","type":5,"block":6,"hp":750},{"name":"TFT5_Kalista","disname":"U2000448_TFT5_Kalista_1","type":5,"block":6,"hp":500},{"name":"TFT5_Rakan","disname":"U2000814_TFT5_Rakan_1","type":5,"block":2,"hp":800},{"name":"TFT5_Irelia","disname":"U2000709_TFT5_Irelia_1","type":5,"block":2,"hp":750},{"name":"TFT5_Leona","disname":"U2000153_TFT5_Leona_12","type":5,"block":3,"hp":1260},{"name":"TFT5_Draven","disname":"U2001085_TFT5_Draven_4","type":5,"block":6,"hp":700},{"name":"TFT5_Sett","disname":"U2000688_TFT5_Sett_1","type":5,"block":7,"hp":1200},{"name":"TFT5_Khazix","disname":"U2000241_TFT5_Khazix_1","type":5,"block":8,"hp":500},{"name":"TFT5_Gragas","disname":"U2000309_TFT5_Gragas_1","type":5,"block":8,"hp":750},{"name":"TFT5_Leona","disname":"U2000134_TFT5_Leona_2","type":5,"block":0,"hp":700},{"name":"TFT5_Riven","disname":"U2000750_TFT5_Riven_1","type":5,"block":8,"hp":800},{"name":"TFT5_Nocturne","disname":"U2000953_TFT5_Nocturne_1","type":5,"block":0,"hp":650},{"name":"TFT5_Udyr","disname":"U2000178_TFT5_Udyr_17","type":5,"block":7,"hp":1260},{"name":"TFT5_Gragas","disname":"U2000329_TFT5_Gragas_17","type":5,"block":7,"hp":1900},{"name":"TFT5_Kennen","disname":"U2000611_TFT5_Kennen_6","type":5,"block":7,"hp":600},{"name":"TFT5_Sett","disname":"U2000674_TFT5_Sett_15","type":5,"block":7,"hp":1200},{"name":"TFT5_Nidalee","disname":"U2000889_TFT5_Nidalee_13","type":5,"block":7,"hp":750},{"name":"TFT5_Khazix","disname":"U2000224_TFT5_Khazix_18","type":5,"block":8,"hp":900},{"name":"TFT5_Gragas","disname":"U2000326_TFT5_Gragas_17","type":5,"block":8,"hp":1350},{"name":"TFT5_Soraka","disname":"U2000489_TFT5_Soraka_11","type":5,"block":8,"hp":990},{"name":"TFT5_Riven","disname":"U2000746_TFT5_Riven_3","type":5,"block":8,"hp":800},{"name":"TFT5_Rakan","disname":"U2000817_TFT5_Rakan_13","type":5,"block":8,"hp":1440},{"name":"TFT5_Nidalee","disname":"U2000883_TFT5_Nidalee_11","type":5,"block":8,"hp":750},{"name":"TFT5_Udyr","disname":"U2000182_TFT5_Udyr_17","type":5,"block":5,"hp":700},{"name":"TFT5_Senna","disname":"U2000367_TFT5_Senna_21","type":5,"block":5,"hp":900},{"name":"TFT5_Olaf","disname":"U2000419_TFT5_Olaf_19","type":5,"block":5,"hp":800},{"name":"TFT5_Irelia","disname":"U2000702_TFT5_Irelia_20","type":5,"block":5,"hp":1350},{"name":"TFT5_Tristana","disname":"U2000716_TFT5_Tristana_14","type":5,"block":5,"hp":550},{"name":"TFT5_Vladimir","disname":"U2000189_TFT5_Vladimir_22","type":5,"block":2,"hp":650},{"name":"TFT5_Senna","disname":"U2000374_TFT5_Senna_20","type":5,"block":2,"hp":900},{"name":"TFT5_Olaf","disname":"U2000395_TFT5_Olaf_18","type":5,"block":2,"hp":1170},{"name":"TFT5_Pyke","disname":"U2000563_TFT5_Pyke_15","type":5,"block":2,"hp":650},{"name":"TFT5_Nautilus","disname":"U2000639_TFT5_Nautilus_8","type":5,"block":2,"hp":1350},{"name":"TFT5_Nocturne","disname":"U2000948_TFT5_Nocturne_13","type":5,"block":2,"hp":1170},{"name":"TFT5_Fiddlesticks","disname":"U2001070_TFT5_Fiddlesticks_5","type":5,"block":2,"hp":800},{"name":"TFT5_Vladimir","disname":"U2000192_TFT5_Vladimir_13","type":5,"block":1,"hp":1170},{"name":"TFT5_Kled","disname":"U2000258_TFT5_Kled_21","type":5,"block":1,"hp":1270},{"name":"TFT5_Sejuani","disname":"U2000586_TFT5_Sejuani_16","type":5,"block":1,"hp":1750},{"name":"TFT5_Sejuani","disname":"U2000590_TFT5_Sejuani_3","type":5,"block":1,"hp":1750},{"name":"TFT5_Irelia","disname":"U2000696_TFT5_Irelia_18","type":5,"block":1,"hp":1350},{"name":"TFT5_Yasuo","disname":"U2000912_TFT5_Yasuo_3","type":5,"block":1,"hp":800},{"name":"TFT5_Aatrox","disname":"U2000074_TFT5_Aatrox_16","type":5,"block":0,"hp":1170},{"name":"TFT5_Leona","disname":"U2000158_TFT5_Leona_16","type":5,"block":0,"hp":2260},{"name":"TFT5_Kalista","disname":"U2000443_TFT5_Kalista_18","type":5,"block":0,"hp":900},{"name":"TFT5_Syndra","disname":"U2000511_TFT5_Syndra_4","type":5,"block":0,"hp":600},{"name":"TFT5_Irelia","disname":"U2000698_TFT5_Irelia_14","type":5,"block":0,"hp":750},{"name":"TFT5_Riven","disname":"U2000753_TFT5_Riven_14","type":5,"block":0,"hp":800},{"name":"TFT5_Poppy","disname":"U2000279_TFT5_Poppy_12","type":5,"block":3,"hp":1080},{"name":"TFT5_Senna","disname":"U2000390_TFT5_Senna_4","type":5,"block":3,"hp":900},{"name":"TFT5_Olaf","disname":"U2000403_TFT5_Olaf_5","type":5,"block":3,"hp":1170},{"name":"TFT5_Kennen","disname":"U2000625_TFT5_Kennen_7","type":5,"block":3,"hp":600},{"name":"TFT5_Thresh","disname":"U2000669_TFT5_Thresh_2","type":5,"block":3,"hp":800},{"name":"TFT5_Irelia","disname":"U2000711_TFT5_Irelia_6","type":5,"block":3,"hp":750},{"name":"TFT5_MissFortune","disname":"U2000925_TFT5_MissFortune_2","type":5,"block":3,"hp":700},{"name":"TFT5_Aatrox","disname":"U2000096_TFT5_Aatrox_16","type":5,"block":6,"hp":1170},{"name":"TFT5_Kalista","disname":"U2000445_TFT5_Kalista_18","type":5,"block":6,"hp":900},{"name":"TFT5_Irelia","disname":"U2000704_TFT5_Irelia_2","type":5,"block":6,"hp":1350},{"name":"TFT5_Riven","disname":"U2000748_TFT5_Riven_11","type":5,"block":6,"hp":1440},{"name":"TFT5_Nidalee","disname":"U2000893_TFT5_Nidalee_5","type":5,"block":6,"hp":900},{"name":"TFT5_Leona","disname":"U2000143_TFT5_Leona_2","type":5,"block":0,"hp":700},{"name":"TFT5_Yasuo","disname":"U2000915_TFT5_Yasuo_1","type":5,"block":1,"hp":800},{"name":"TFT5_Kalista","disname":"U2000428_TFT5_Kalista_1","type":5,"block":6,"hp":500},{"name":"TFT5_Aatrox","disname":"U2000092_TFT5_Aatrox_2","type":5,"block":6,"hp":650},{"name":"TFT5_Aatrox","disname":"U2000078_TFT5_Aatrox_1","type":5,"block":6,"hp":650},{"name":"TFT5_Kalista","disname":"U2000442_TFT5_Kalista_1","type":5,"block":5,"hp":500},{"name":"TFT5_Nocturne","disname":"U2000944_TFT5_Nocturne_1","type":5,"block":2,"hp":650},{"name":"TFT5_Nautilus","disname":"U2000645_TFT5_Nautilus_1","type":5,"block":2,"hp":750}]}</t>
  </si>
  <si>
    <t>{"success":true,"code":200,"msg":"鎴愬姛","data":["TFT5_Soraka","TFT5_Syndra","TFT5_Vayne","TFT5_Olaf","TFT5_Vladimir"]}</t>
  </si>
  <si>
    <t>{"success":true,"code":200,"msg":"鎴愬姛","data":[{"isme":true,"zt":5,"fit":0,"name":"TFTChampion","disname":"AlphaChess","type":3,"block":3,"hp":100},{"fit":1,"name":"TFTChampion","disname":"蹇冨惉涓舵柀涓剁爫涓跺妶","type":3,"block":7,"hp":60},{"fit":1,"name":"TFTChampion","disname":"AA璇峰彨鍝ュǘ浣?,"type":3,"block":8,"hp":73},{"fit":2,"name":"TFTChampion","disname":"甯稿痉灏忕埛璁╀綘閮侀椃","type":3,"block":5,"hp":53},{"fit":2,"name":"TFTChampion","disname":"璇峰彨鎴戝ぇ鍐涘啗","type":3,"block":2,"hp":40},{"fit":2,"name":"TFTChampion","disname":"浣犳槸妫掓閿?,"type":3,"block":1,"hp":44},{"fit":2,"name":"TFTChampion","disname":"DD杈呭姪鎯砪","type":3,"block":0,"hp":72},{"fit":1,"name":"TFTChampion","disname":"闈栨紶Jungle","type":3,"block":6,"hp":52},{"name":"TFT5_Gragas","disname":"U2000305_TFT5_Gragas_1","type":5,"block":8,"hp":1350},{"name":"TFT5_Yasuo","disname":"U2000901_TFT5_Yasuo_1","type":5,"block":0,"hp":800},{"name":"TFT5_Nautilus","disname":"U2000627_TFT5_Nautilus_1","type":5,"block":5,"hp":750},{"name":"TFT5_Pyke","disname":"U2000562_TFT5_Pyke_1","type":5,"block":5,"hp":1170},{"name":"TFT5_Nautilus","disname":"U2000637_TFT5_Nautilus_1","type":5,"block":5,"hp":750},{"name":"TFT5_Irelia","disname":"U2000703_TFT5_Irelia_1","type":5,"block":0,"hp":750},{"name":"TFT5_Yasuo","disname":"U2000913_TFT5_Yasuo_5","type":5,"block":6,"hp":800},{"name":"TFT5_Yasuo","disname":"U2000911_TFT5_Yasuo_1","type":5,"block":6,"hp":800},{"name":"TFT5_Vladimir","disname":"U2000196_TFT5_Vladimir_1","type":5,"block":2,"hp":650},{"name":"TFT5_Rakan","disname":"U2000827_TFT5_Rakan_2","type":5,"block":3,"hp":1440},{"name":"TFT5_Yasuo","disname":"U2000905_TFT5_Yasuo_1","type":5,"block":0,"hp":800},{"name":"TFT5_Khazix","disname":"U2000235_TFT5_Khazix_1","type":5,"block":8,"hp":900},{"name":"TFT5_Nidalee","disname":"U2000882_TFT5_Nidalee_1","type":5,"block":6,"hp":750},{"name":"TFT5_Rakan","disname":"U2000814_TFT5_Rakan_1","type":5,"block":2,"hp":800},{"name":"TFT5_Irelia","disname":"U2000709_TFT5_Irelia_1","type":5,"block":2,"hp":750},{"name":"TFT5_Leona","disname":"U2000153_TFT5_Leona_12","type":5,"block":3,"hp":1260},{"name":"TFT5_Draven","disname":"U2001085_TFT5_Draven_4","type":5,"block":6,"hp":700},{"name":"TFT5_Khazix","disname":"U2000241_TFT5_Khazix_1","type":5,"block":8,"hp":500},{"name":"TFT5_Gragas","disname":"U2000309_TFT5_Gragas_1","type":5,"block":8,"hp":750},{"name":"TFT5_Leona","disname":"U2000134_TFT5_Leona_2","type":5,"block":0,"hp":700},{"name":"TFT5_Riven","disname":"U2000750_TFT5_Riven_1","type":5,"block":8,"hp":800},{"name":"TFT5_Nocturne","disname":"U2000953_TFT5_Nocturne_1","type":5,"block":0,"hp":650},{"name":"TFT5_Leona","disname":"U2000143_TFT5_Leona_2","type":5,"block":0,"hp":700},{"name":"TFT5_Yasuo","disname":"U2000915_TFT5_Yasuo_1","type":5,"block":1,"hp":800},{"name":"TFT5_Aatrox","disname":"U2000092_TFT5_Aatrox_2","type":5,"block":6,"hp":650},{"name":"TFT5_Aatrox","disname":"U2000078_TFT5_Aatrox_1","type":5,"block":6,"hp":650},{"name":"TFT5_Nunu","disname":"U2000864_TFT5_Nunu_3","type":5,"block":3,"hp":900},{"name":"TFT5_Senna","disname":"U2000366_TFT5_Senna_2","type":5,"block":2,"hp":500},{"name":"TFT5_Riven","disname":"U2000754_TFT5_Riven_1","type":5,"block":0,"hp":800},{"name":"TFT5_Nidalee","disname":"U2000897_TFT5_Nidalee_1","type":5,"block":1,"hp":750},{"name":"TFT5_LeeSin","disname":"U2000765_TFT5_LeeSin_1","type":5,"block":1,"hp":800},{"name":"TFT5_Udyr","disname":"U2000178_TFT5_Udyr_18","type":5,"block":7,"hp":1260},{"name":"TFT5_Gragas","disname":"U2000329_TFT5_Gragas_18","type":5,"block":7,"hp":1900},{"name":"TFT5_Ziggs","disname":"U2000353_TFT5_Ziggs_2","type":5,"block":7,"hp":450},{"name":"TFT5_Kennen","disname":"U2000611_TFT5_Kennen_7","type":5,"block":7,"hp":600},{"name":"TFT5_Sett","disname":"U2000674_TFT5_Sett_16","type":5,"block":7,"hp":1200},{"name":"TFT5_Sett","disname":"U2000688_TFT5_Sett_2","type":5,"block":7,"hp":1200},{"name":"TFT5_Nidalee","disname":"U2000889_TFT5_Nidalee_14","type":5,"block":7,"hp":750},{"name":"TFT5_Khazix","disname":"U2000224_TFT5_Khazix_19","type":5,"block":8,"hp":900},{"name":"TFT5_Gragas","disname":"U2000326_TFT5_Gragas_18","type":5,"block":8,"hp":1350},{"name":"TFT5_Soraka","disname":"U2000489_TFT5_Soraka_12","type":5,"block":8,"hp":990},{"name":"TFT5_Riven","disname":"U2000746_TFT5_Riven_4","type":5,"block":8,"hp":800},{"name":"TFT5_Rakan","disname":"U2000817_TFT5_Rakan_14","type":5,"block":8,"hp":1440},{"name":"TFT5_Nidalee","disname":"U2000883_TFT5_Nidalee_12","type":5,"block":8,"hp":750},{"name":"TFT5_Udyr","disname":"U2000182_TFT5_Udyr_18","type":5,"block":5,"hp":700},{"name":"TFT5_Senna","disname":"U2000367_TFT5_Senna_22","type":5,"block":5,"hp":900},{"name":"TFT5_Olaf","disname":"U2000419_TFT5_Olaf_20","type":5,"block":5,"hp":800},{"name":"TFT5_Kalista","disname":"U2000442_TFT5_Kalista_2","type":5,"block":5,"hp":500},{"name":"TFT5_Irelia","disname":"U2000702_TFT5_Irelia_21","type":5,"block":5,"hp":1350},{"name":"TFT5_Tristana","disname":"U2000716_TFT5_Tristana_15","type":5,"block":5,"hp":550},{"name":"TFT5_Vladimir","disname":"U2000189_TFT5_Vladimir_23","type":5,"block":2,"hp":650},{"name":"TFT5_Senna","disname":"U2000374_TFT5_Senna_21","type":5,"block":2,"hp":900},{"name":"TFT5_Olaf","disname":"U2000395_TFT5_Olaf_19","type":5,"block":2,"hp":1170},{"name":"TFT5_Pyke","disname":"U2000563_TFT5_Pyke_16","type":5,"block":2,"hp":650},{"name":"TFT5_Nautilus","disname":"U2000639_TFT5_Nautilus_9","type":5,"block":2,"hp":1350},{"name":"TFT5_Nocturne","disname":"U2000948_TFT5_Nocturne_14","type":5,"block":2,"hp":1170},{"name":"TFT5_Fiddlesticks","disname":"U2001070_TFT5_Fiddlesticks_6","type":5,"block":2,"hp":800},{"name":"TFT5_Vladimir","disname":"U2000192_TFT5_Vladimir_14","type":5,"block":1,"hp":1170},{"name":"TFT5_Kled","disname":"U2000258_TFT5_Kled_22","type":5,"block":1,"hp":1270},{"name":"TFT5_Sejuani","disname":"U2000586_TFT5_Sejuani_17","type":5,"block":1,"hp":1750},{"name":"TFT5_Sejuani","disname":"U2000590_TFT5_Sejuani_4","type":5,"block":1,"hp":1750},{"name":"TFT5_Irelia","disname":"U2000696_TFT5_Irelia_19","type":5,"block":1,"hp":1350},{"name":"TFT5_Yasuo","disname":"U2000912_TFT5_Yasuo_4","type":5,"block":1,"hp":800},{"name":"TFT5_Aatrox","disname":"U2000074_TFT5_Aatrox_17","type":5,"block":0,"hp":1170},{"name":"TFT5_Leona","disname":"U2000158_TFT5_Leona_17","type":5,"block":0,"hp":2260},{"name":"TFT5_Kalista","disname":"U2000443_TFT5_Kalista_19","type":5,"block":0,"hp":900},{"name":"TFT5_Syndra","disname":"U2000511_TFT5_Syndra_5","type":5,"block":0,"hp":600},{"name":"TFT5_Irelia","disname":"U2000698_TFT5_Irelia_15","type":5,"block":0,"hp":750},{"name":"TFT5_Riven","disname":"U2000753_TFT5_Riven_15","type":5,"block":0,"hp":800},{"name":"TFT5_Poppy","disname":"U2000279_TFT5_Poppy_13","type":5,"block":3,"hp":1080},{"name":"TFT5_Senna","disname":"U2000390_TFT5_Senna_5","type":5,"block":3,"hp":900},{"name":"TFT5_Olaf","disname":"U2000403_TFT5_Olaf_6","type":5,"block":3,"hp":1170},{"name":"TFT5_Kennen","disname":"U2000625_TFT5_Kennen_8","type":5,"block":3,"hp":600},{"name":"TFT5_Thresh","disname":"U2000669_TFT5_Thresh_3","type":5,"block":3,"hp":800},{"name":"TFT5_Irelia","disname":"U2000711_TFT5_Irelia_7","type":5,"block":3,"hp":750},{"name":"TFT5_MissFortune","disname":"U2000925_TFT5_MissFortune_3","type":5,"block":3,"hp":700},{"name":"TFT5_Aatrox","disname":"U2000096_TFT5_Aatrox_17","type":5,"block":6,"hp":1170},{"name":"TFT5_Kalista","disname":"U2000445_TFT5_Kalista_19","type":5,"block":6,"hp":1620},{"name":"TFT5_Irelia","disname":"U2000704_TFT5_Irelia_3","type":5,"block":6,"hp":1350},{"name":"TFT5_Riven","disname":"U2000748_TFT5_Riven_12","type":5,"block":6,"hp":1440},{"name":"TFT5_Nidalee","disname":"U2000893_TFT5_Nidalee_6","type":5,"block":6,"hp":900},{"name":"TFT5_Kalista","disname":"U2000432_TFT5_Kalista_1","type":5,"block":0,"hp":500},{"name":"TFT5_Gragas","disname":"U2000327_TFT5_Gragas_1","type":5,"block":8,"hp":750}]}</t>
  </si>
  <si>
    <t>{"name":"TFT5_</t>
  </si>
  <si>
    <t>}</t>
  </si>
  <si>
    <t>{"success":true,"code":200,"msg":"鎴愬姛","data":[{"isme":true,"zt":5,"fit":0,"name":"TFTChampion","disname":"AlphaChess","type":3,"block":3,"hp":100},{"fit":1,"name":"TFTChampion","disname":"蹇冨惉涓舵柀涓剁爫涓跺妶","type":3,"block":7,"hp":60},{"fit":1,"name":"TFTChampion","disname":"AA璇峰彨鍝ュǘ浣?,"type":3,"block":8,"hp":73},{"fit":2,"name":"TFTChampion","disname":"甯稿痉灏忕埛璁╀綘閮侀椃","type":3,"block":5,"hp":53},{"fit":2,"name":"TFTChampion","disname":"璇峰彨鎴戝ぇ鍐涘啗","type":3,"block":2,"hp":40},{"fit":2,"name":"TFTChampion","disname":"浣犳槸妫掓閿?,"type":3,"block":1,"hp":44},{"fit":2,"name":"TFTChampion","disname":"DD杈呭姪鎯砪","type":3,"block":0,"hp":72},{"fit":1,"name":"TFTChampion","disname":"闈栨紶Jungle","type":3,"block":6,"hp":52},</t>
  </si>
  <si>
    <t>Garen,disname:U2000432_TFT5_Kalista_1</t>
  </si>
  <si>
    <t>{"success":true,"code":200,"msg":"鎴愬姛","data":[{"isme":true,"zt":5,"fit":0,"name":"TFTChampion","disname":"AlphaChess","type":3,"block":3,"hp":100},{"fit":1,"name":"TFTChampion","disname":"蹇冨惉涓舵柀涓剁爫涓跺妶","type":3,"block":7,"hp":60},{"fit":1,"name":"TFTChampion","disname":"AA璇峰彨鍝ュǘ浣?,"type":3,"block":8,"hp":73},{"fit":2,"name":"TFTChampion","disname":"甯稿痉灏忕埛璁╀綘閮侀椃","type":3,"block":5,"hp":53},{"fit":2,"name":"TFTChampion","disname":"璇峰彨鎴戝ぇ鍐涘啗","type":3,"block":2,"hp":40},{"fit":2,"name":"TFTChampion","disname":"浣犳槸妫掓閿?,"type":3,"block":1,"hp":44},{"fit":2,"name":"TFTChampion","disname":"DD杈呭姪鎯砪","type":3,"block":0,"hp":72},{"fit":1,"name":"TFTChampion","disname":"闈栨紶Jungle","type":3,"block":6,"hp":52},{"name":"TFT5_Garen,disname:U2000432_TFT5_Kalista_1","type":5,"block":8,"hp":1050},{"name":"TFT5_Kennen,disname:U2000432_TFT5_Kalista_1","type":5,"block":8,"hp":1080},{"name":"TFT5_Rakan,disname:U2000432_TFT5_Kalista_1","type":5,"block":8,"hp":800},{"name":"TFT5_Hecarim,disname:U2000432_TFT5_Kalista_1","type":5,"block":8,"hp":1350},{"name":"TFT5_MissFortune,disname:U2000432_TFT5_Kalista_1","type":5,"block":8,"hp":700},{"name":"TFT5_Senna,disname:U2000432_TFT5_Kalista_1","type":5,"block":8,"hp":500}</t>
  </si>
  <si>
    <t>Kennen,disname:U2000432_TFT5_Kalista_1</t>
  </si>
  <si>
    <t>Rakan,disname:U2000432_TFT5_Kalista_1</t>
  </si>
  <si>
    <t>Hecarim,disname:U2000432_TFT5_Kalista_1</t>
  </si>
  <si>
    <t>MissFortune,disname:U2000432_TFT5_Kalista_1</t>
  </si>
  <si>
    <t>Senna,disname:U2000432_TFT5_Kalista_1</t>
  </si>
  <si>
    <t>:U2000432_TFT5_Kalista_1","type":5,"block":3,"hp":</t>
  </si>
  <si>
    <t>{"success":true,"code":200,"msg":"鎴愬姛","data":[{"isme":true,"zt":5,"fit":0,"name":"TFTChampion","disname":"AlphaChess","type":3,"block":3,"hp":100},{"fit":1,"name":"TFTChampion","disname":"蹇冨惉涓舵柀涓剁爫涓跺妶","type":3,"block":7,"hp":60},{"fit":1,"name":"TFTChampion","disname":"AA璇峰彨鍝ュǘ浣?,"type":3,"block":8,"hp":73},{"fit":2,"name":"TFTChampion","disname":"甯稿痉灏忕埛璁╀綘閮侀椃","type":3,"block":5,"hp":53},{"fit":2,"name":"TFTChampion","disname":"璇峰彨鎴戝ぇ鍐涘啗","type":3,"block":2,"hp":40},{"fit":2,"name":"TFTChampion","disname":"浣犳槸妫掓閿?,"type":3,"block":1,"hp":44},{"fit":2,"name":"TFTChampion","disname":"DD杈呭姪鎯砪","type":3,"block":0,"hp":72},{"fit":1,"name":"TFTChampion","disname":"闈栨紶Jungle","type":3,"block":6,"hp":52},{"name":"TFT5_Garen,disname:U2000432_TFT5_Kalista_1","type":5,"block":3,"hp":1050},{"name":"TFT5_Kennen,disname:U2000432_TFT5_Kalista_1","type":5,"block":3,"hp":1080},{"name":"TFT5_Rakan,disname:U2000432_TFT5_Kalista_1","type":5,"block":3,"hp":800},{"name":"TFT5_Hecarim,disname:U2000432_TFT5_Kalista_1","type":5,"block":3,"hp":1350},{"name":"TFT5_MissFortune,disname:U2000432_TFT5_Kalista_1","type":5,"block":3,"hp":700},{"name":"TFT5_Senna,disname:U2000432_TFT5_Kalista_1","type":5,"block":3,"hp":500}</t>
  </si>
  <si>
    <t>{"success":true,"code":200,"msg":"鎴愬姛","data":[{"isme":true,"zt":5,"fit":0,"name":"TFTChampion","disname":"AlphaChess","type":3,"block":3,"hp":100},{"fit":1,"name":"TFTChampion","disname":"蹇冨惉涓舵柀涓剁爫涓跺妶","type":3,"block":7,"hp":60},{"fit":1,"name":"TFTChampion","disname":"AA璇峰彨鍝ュǘ浣?,"type":3,"block":8,"hp":73},{"fit":2,"name":"TFTChampion","disname":"甯稿痉灏忕埛璁╀綘閮侀椃","type":3,"block":5,"hp":53},{"fit":2,"name":"TFTChampion","disname":"璇峰彨鎴戝ぇ鍐涘啗","type":3,"block":2,"hp":40},{"fit":2,"name":"TFTChampion","disname":"浣犳槸妫掓閿?,"type":3,"block":1,"hp":44},{"fit":2,"name":"TFTChampion","disname":"DD杈呭姪鎯砪","type":3,"block":0,"hp":72},{"fit":1,"name":"TFTChampion","disname":"闈栨紶Jungle","type":3,"block":6,"hp":52},{"name":"TFT5_Garen,disname:U2000432_TFT5_Kalista_1","type":5,"block":3,"hp":1050},{"name":"TFT5_Kennen,disname:U2000432_TFT5_Kalista_1","type":5,"block":3,"hp":1080},{"name":"TFT5_Rakan,disname:U2000432_TFT5_Kalista_1","type":5,"block":3,"hp":800},{"name":"TFT5_Hecarim,disname:U2000432_TFT5_Kalista_1","type":5,"block":3,"hp":1350},{"name":"TFT5_MissFortune,disname:U2000432_TFT5_Kalista_1","type":5,"block":3,"hp":700},{"name":"TFT5_Senna,disname:U2000432_TFT5_Kalista_1","type":5,"block":3,"hp":500}]}</t>
  </si>
  <si>
    <t>",disname</t>
  </si>
  <si>
    <t>{"success":true,"code":200,"msg":"鎴愬姛","data":[{"isme":true,"zt":5,"fit":0,"name":"TFTChampion","disname":"AlphaChess","type":3,"block":3,"hp":100},{"fit":1,"name":"TFTChampion","disname":"蹇冨惉涓舵柀涓剁爫涓跺妶","type":3,"block":7,"hp":60},{"fit":1,"name":"TFTChampion","disname":"AA璇峰彨鍝ュǘ浣?,"type":3,"block":8,"hp":73},{"fit":2,"name":"TFTChampion","disname":"甯稿痉灏忕埛璁╀綘閮侀椃","type":3,"block":5,"hp":53},{"fit":2,"name":"TFTChampion","disname":"璇峰彨鎴戝ぇ鍐涘啗","type":3,"block":2,"hp":40},{"fit":2,"name":"TFTChampion","disname":"浣犳槸妫掓閿?,"type":3,"block":1,"hp":44},{"fit":2,"name":"TFTChampion","disname":"DD杈呭姪鎯砪","type":3,"block":0,"hp":72},{"fit":1,"name":"TFTChampion","disname":"闈栨紶Jungle","type":3,"block":6,"hp":52},{"name":"TFT5_Garen",disname:U2000432_TFT5_Kalista_1","type":5,"block":3,"hp":1050},{"name":"TFT5_Kennen",disname:U2000432_TFT5_Kalista_1","type":5,"block":3,"hp":1080},{"name":"TFT5_Rakan",disname:U2000432_TFT5_Kalista_1","type":5,"block":3,"hp":800},{"name":"TFT5_Hecarim",disname:U2000432_TFT5_Kalista_1","type":5,"block":3,"hp":1350},{"name":"TFT5_MissFortune",disname:U2000432_TFT5_Kalista_1","type":5,"block":3,"hp":700},{"name":"TFT5_Senna",disname:U2000432_TFT5_Kalista_1","type":5,"block":3,"hp":500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</si>
</sst>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rgb="FF000000"/>
      <name val="宋体"/>
      <charset val="134"/>
    </font>
    <font>
      <sz val="12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4" fillId="0" borderId="0"/>
  </cellStyleXfs>
  <cellXfs count="1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4" fillId="0" borderId="0" xfId="1"/>
    <xf numFmtId="16" fontId="0" fillId="0" borderId="0" xfId="0" applyNumberFormat="1"/>
    <xf numFmtId="0" fontId="0" fillId="0" borderId="1" xfId="0" applyBorder="1"/>
    <xf numFmtId="0" fontId="0" fillId="0" borderId="3" xfId="0" applyBorder="1"/>
    <xf numFmtId="0" fontId="0" fillId="0" borderId="2" xfId="0" applyBorder="1"/>
    <xf numFmtId="1" fontId="4" fillId="0" borderId="0" xfId="1" applyNumberFormat="1"/>
    <xf numFmtId="0" fontId="0" fillId="2" borderId="0" xfId="0" applyFill="1"/>
    <xf numFmtId="0" fontId="0" fillId="0" borderId="4" xfId="0" applyBorder="1"/>
    <xf numFmtId="0" fontId="6" fillId="0" borderId="0" xfId="0" applyFont="1" applyAlignment="1">
      <alignment horizontal="justify" vertical="center"/>
    </xf>
    <xf numFmtId="0" fontId="6" fillId="0" borderId="0" xfId="0" applyFont="1"/>
    <xf numFmtId="1" fontId="0" fillId="0" borderId="0" xfId="0" applyNumberFormat="1"/>
    <xf numFmtId="0" fontId="0" fillId="0" borderId="0" xfId="0" applyAlignment="1">
      <alignment horizontal="justify" vertic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0" fillId="3" borderId="0" xfId="0" applyFill="1"/>
  </cellXfs>
  <cellStyles count="2">
    <cellStyle name="Normal" xfId="0" builtinId="0"/>
    <cellStyle name="Normal 2" xfId="1" xr:uid="{1495B538-888F-44E2-B353-4EEB3F19BEFB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svg"/><Relationship Id="rId42" Type="http://schemas.openxmlformats.org/officeDocument/2006/relationships/image" Target="../media/image42.svg"/><Relationship Id="rId47" Type="http://schemas.openxmlformats.org/officeDocument/2006/relationships/image" Target="../media/image47.png"/><Relationship Id="rId50" Type="http://schemas.openxmlformats.org/officeDocument/2006/relationships/image" Target="../media/image50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svg"/><Relationship Id="rId32" Type="http://schemas.openxmlformats.org/officeDocument/2006/relationships/image" Target="../media/image32.svg"/><Relationship Id="rId37" Type="http://schemas.openxmlformats.org/officeDocument/2006/relationships/image" Target="../media/image37.png"/><Relationship Id="rId40" Type="http://schemas.openxmlformats.org/officeDocument/2006/relationships/image" Target="../media/image40.sv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svg"/><Relationship Id="rId36" Type="http://schemas.openxmlformats.org/officeDocument/2006/relationships/image" Target="../media/image36.svg"/><Relationship Id="rId49" Type="http://schemas.openxmlformats.org/officeDocument/2006/relationships/image" Target="../media/image49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svg"/><Relationship Id="rId52" Type="http://schemas.openxmlformats.org/officeDocument/2006/relationships/image" Target="../media/image52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Relationship Id="rId27" Type="http://schemas.openxmlformats.org/officeDocument/2006/relationships/image" Target="../media/image27.png"/><Relationship Id="rId30" Type="http://schemas.openxmlformats.org/officeDocument/2006/relationships/image" Target="../media/image30.sv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svg"/><Relationship Id="rId8" Type="http://schemas.openxmlformats.org/officeDocument/2006/relationships/image" Target="../media/image8.sv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svg"/><Relationship Id="rId46" Type="http://schemas.openxmlformats.org/officeDocument/2006/relationships/image" Target="../media/image46.svg"/><Relationship Id="rId20" Type="http://schemas.openxmlformats.org/officeDocument/2006/relationships/image" Target="../media/image20.sv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sv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13" Type="http://schemas.openxmlformats.org/officeDocument/2006/relationships/image" Target="../media/image58.emf"/><Relationship Id="rId3" Type="http://schemas.openxmlformats.org/officeDocument/2006/relationships/image" Target="../media/image53.emf"/><Relationship Id="rId7" Type="http://schemas.openxmlformats.org/officeDocument/2006/relationships/image" Target="../media/image64.emf"/><Relationship Id="rId12" Type="http://schemas.openxmlformats.org/officeDocument/2006/relationships/image" Target="../media/image59.emf"/><Relationship Id="rId17" Type="http://schemas.openxmlformats.org/officeDocument/2006/relationships/image" Target="../media/image54.emf"/><Relationship Id="rId2" Type="http://schemas.openxmlformats.org/officeDocument/2006/relationships/image" Target="../media/image68.emf"/><Relationship Id="rId16" Type="http://schemas.openxmlformats.org/officeDocument/2006/relationships/image" Target="../media/image55.emf"/><Relationship Id="rId1" Type="http://schemas.openxmlformats.org/officeDocument/2006/relationships/image" Target="../media/image69.emf"/><Relationship Id="rId6" Type="http://schemas.openxmlformats.org/officeDocument/2006/relationships/image" Target="../media/image65.emf"/><Relationship Id="rId11" Type="http://schemas.openxmlformats.org/officeDocument/2006/relationships/image" Target="../media/image60.emf"/><Relationship Id="rId5" Type="http://schemas.openxmlformats.org/officeDocument/2006/relationships/image" Target="../media/image66.emf"/><Relationship Id="rId15" Type="http://schemas.openxmlformats.org/officeDocument/2006/relationships/image" Target="../media/image56.emf"/><Relationship Id="rId10" Type="http://schemas.openxmlformats.org/officeDocument/2006/relationships/image" Target="../media/image61.emf"/><Relationship Id="rId4" Type="http://schemas.openxmlformats.org/officeDocument/2006/relationships/image" Target="../media/image67.emf"/><Relationship Id="rId9" Type="http://schemas.openxmlformats.org/officeDocument/2006/relationships/image" Target="../media/image62.emf"/><Relationship Id="rId14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336550</xdr:colOff>
          <xdr:row>5</xdr:row>
          <xdr:rowOff>25400</xdr:rowOff>
        </xdr:from>
        <xdr:to>
          <xdr:col>23</xdr:col>
          <xdr:colOff>209550</xdr:colOff>
          <xdr:row>21</xdr:row>
          <xdr:rowOff>146050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92608" tIns="301752" rIns="292608" bIns="301752" anchor="ctr" upright="1"/>
            <a:lstStyle/>
            <a:p>
              <a:pPr algn="ctr" rtl="0">
                <a:defRPr sz="1000"/>
              </a:pPr>
              <a:r>
                <a:rPr lang="en-US" sz="1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320040</xdr:colOff>
      <xdr:row>1</xdr:row>
      <xdr:rowOff>7621</xdr:rowOff>
    </xdr:from>
    <xdr:to>
      <xdr:col>8</xdr:col>
      <xdr:colOff>173471</xdr:colOff>
      <xdr:row>2</xdr:row>
      <xdr:rowOff>15241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44340" y="259081"/>
          <a:ext cx="200141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</xdr:row>
      <xdr:rowOff>1</xdr:rowOff>
    </xdr:from>
    <xdr:to>
      <xdr:col>8</xdr:col>
      <xdr:colOff>287655</xdr:colOff>
      <xdr:row>3</xdr:row>
      <xdr:rowOff>1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196840" y="1005841"/>
          <a:ext cx="291465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247650</xdr:colOff>
      <xdr:row>4</xdr:row>
      <xdr:rowOff>0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196840" y="1257300"/>
          <a:ext cx="251460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1</xdr:colOff>
      <xdr:row>4</xdr:row>
      <xdr:rowOff>0</xdr:rowOff>
    </xdr:from>
    <xdr:to>
      <xdr:col>8</xdr:col>
      <xdr:colOff>212447</xdr:colOff>
      <xdr:row>5</xdr:row>
      <xdr:rowOff>0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196841" y="1508760"/>
          <a:ext cx="216256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</xdr:row>
      <xdr:rowOff>19050</xdr:rowOff>
    </xdr:from>
    <xdr:to>
      <xdr:col>8</xdr:col>
      <xdr:colOff>229594</xdr:colOff>
      <xdr:row>6</xdr:row>
      <xdr:rowOff>19050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305300" y="1289050"/>
          <a:ext cx="229594" cy="2540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</xdr:row>
      <xdr:rowOff>0</xdr:rowOff>
    </xdr:from>
    <xdr:to>
      <xdr:col>8</xdr:col>
      <xdr:colOff>247650</xdr:colOff>
      <xdr:row>7</xdr:row>
      <xdr:rowOff>0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96840" y="2011680"/>
          <a:ext cx="251460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7</xdr:row>
      <xdr:rowOff>1</xdr:rowOff>
    </xdr:from>
    <xdr:to>
      <xdr:col>8</xdr:col>
      <xdr:colOff>155448</xdr:colOff>
      <xdr:row>8</xdr:row>
      <xdr:rowOff>1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196840" y="2263141"/>
          <a:ext cx="155448" cy="251460"/>
        </a:xfrm>
        <a:prstGeom prst="rect">
          <a:avLst/>
        </a:prstGeom>
      </xdr:spPr>
    </xdr:pic>
    <xdr:clientData/>
  </xdr:twoCellAnchor>
  <xdr:twoCellAnchor editAs="oneCell">
    <xdr:from>
      <xdr:col>7</xdr:col>
      <xdr:colOff>274320</xdr:colOff>
      <xdr:row>8</xdr:row>
      <xdr:rowOff>7621</xdr:rowOff>
    </xdr:from>
    <xdr:to>
      <xdr:col>8</xdr:col>
      <xdr:colOff>208091</xdr:colOff>
      <xdr:row>9</xdr:row>
      <xdr:rowOff>15241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198620" y="2019301"/>
          <a:ext cx="272861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9</xdr:row>
      <xdr:rowOff>0</xdr:rowOff>
    </xdr:from>
    <xdr:to>
      <xdr:col>8</xdr:col>
      <xdr:colOff>247650</xdr:colOff>
      <xdr:row>10</xdr:row>
      <xdr:rowOff>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5196840" y="2766060"/>
          <a:ext cx="251460" cy="251460"/>
        </a:xfrm>
        <a:prstGeom prst="rect">
          <a:avLst/>
        </a:prstGeom>
      </xdr:spPr>
    </xdr:pic>
    <xdr:clientData/>
  </xdr:twoCellAnchor>
  <xdr:twoCellAnchor editAs="oneCell">
    <xdr:from>
      <xdr:col>7</xdr:col>
      <xdr:colOff>320040</xdr:colOff>
      <xdr:row>10</xdr:row>
      <xdr:rowOff>17145</xdr:rowOff>
    </xdr:from>
    <xdr:to>
      <xdr:col>8</xdr:col>
      <xdr:colOff>170554</xdr:colOff>
      <xdr:row>11</xdr:row>
      <xdr:rowOff>0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4244340" y="2531745"/>
          <a:ext cx="206749" cy="23431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11</xdr:row>
      <xdr:rowOff>0</xdr:rowOff>
    </xdr:from>
    <xdr:to>
      <xdr:col>8</xdr:col>
      <xdr:colOff>247650</xdr:colOff>
      <xdr:row>12</xdr:row>
      <xdr:rowOff>0</xdr:rowOff>
    </xdr:to>
    <xdr:pic>
      <xdr:nvPicPr>
        <xdr:cNvPr id="33" name="Graphic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196840" y="3268980"/>
          <a:ext cx="251460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12</xdr:row>
      <xdr:rowOff>0</xdr:rowOff>
    </xdr:from>
    <xdr:to>
      <xdr:col>8</xdr:col>
      <xdr:colOff>247650</xdr:colOff>
      <xdr:row>13</xdr:row>
      <xdr:rowOff>0</xdr:rowOff>
    </xdr:to>
    <xdr:pic>
      <xdr:nvPicPr>
        <xdr:cNvPr id="35" name="Graphic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196840" y="3520440"/>
          <a:ext cx="251460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14</xdr:row>
      <xdr:rowOff>1</xdr:rowOff>
    </xdr:from>
    <xdr:to>
      <xdr:col>8</xdr:col>
      <xdr:colOff>213049</xdr:colOff>
      <xdr:row>15</xdr:row>
      <xdr:rowOff>1</xdr:rowOff>
    </xdr:to>
    <xdr:pic>
      <xdr:nvPicPr>
        <xdr:cNvPr id="63" name="Graphic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5196840" y="3520441"/>
          <a:ext cx="220669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15</xdr:row>
      <xdr:rowOff>0</xdr:rowOff>
    </xdr:from>
    <xdr:to>
      <xdr:col>8</xdr:col>
      <xdr:colOff>247750</xdr:colOff>
      <xdr:row>16</xdr:row>
      <xdr:rowOff>0</xdr:rowOff>
    </xdr:to>
    <xdr:pic>
      <xdr:nvPicPr>
        <xdr:cNvPr id="8200" name="Graphic 8199">
          <a:extLst>
            <a:ext uri="{FF2B5EF4-FFF2-40B4-BE49-F238E27FC236}">
              <a16:creationId xmlns:a16="http://schemas.microsoft.com/office/drawing/2014/main" id="{00000000-0008-0000-0000-000008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5196840" y="3771900"/>
          <a:ext cx="238225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</xdr:colOff>
      <xdr:row>16</xdr:row>
      <xdr:rowOff>53340</xdr:rowOff>
    </xdr:from>
    <xdr:to>
      <xdr:col>8</xdr:col>
      <xdr:colOff>266700</xdr:colOff>
      <xdr:row>17</xdr:row>
      <xdr:rowOff>57150</xdr:rowOff>
    </xdr:to>
    <xdr:pic>
      <xdr:nvPicPr>
        <xdr:cNvPr id="8202" name="Graphic 8201">
          <a:extLst>
            <a:ext uri="{FF2B5EF4-FFF2-40B4-BE49-F238E27FC236}">
              <a16:creationId xmlns:a16="http://schemas.microsoft.com/office/drawing/2014/main" id="{00000000-0008-0000-0000-00000A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4282440" y="4076700"/>
          <a:ext cx="251460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17</xdr:row>
      <xdr:rowOff>0</xdr:rowOff>
    </xdr:from>
    <xdr:to>
      <xdr:col>8</xdr:col>
      <xdr:colOff>247978</xdr:colOff>
      <xdr:row>18</xdr:row>
      <xdr:rowOff>0</xdr:rowOff>
    </xdr:to>
    <xdr:pic>
      <xdr:nvPicPr>
        <xdr:cNvPr id="8204" name="Graphic 8203">
          <a:extLst>
            <a:ext uri="{FF2B5EF4-FFF2-40B4-BE49-F238E27FC236}">
              <a16:creationId xmlns:a16="http://schemas.microsoft.com/office/drawing/2014/main" id="{00000000-0008-0000-0000-00000C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5196840" y="4274820"/>
          <a:ext cx="238453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247650</xdr:colOff>
      <xdr:row>19</xdr:row>
      <xdr:rowOff>0</xdr:rowOff>
    </xdr:to>
    <xdr:pic>
      <xdr:nvPicPr>
        <xdr:cNvPr id="8206" name="Graphic 8205">
          <a:extLst>
            <a:ext uri="{FF2B5EF4-FFF2-40B4-BE49-F238E27FC236}">
              <a16:creationId xmlns:a16="http://schemas.microsoft.com/office/drawing/2014/main" id="{00000000-0008-0000-0000-00000E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5196840" y="4526280"/>
          <a:ext cx="251460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19</xdr:row>
      <xdr:rowOff>0</xdr:rowOff>
    </xdr:from>
    <xdr:to>
      <xdr:col>8</xdr:col>
      <xdr:colOff>247650</xdr:colOff>
      <xdr:row>20</xdr:row>
      <xdr:rowOff>0</xdr:rowOff>
    </xdr:to>
    <xdr:pic>
      <xdr:nvPicPr>
        <xdr:cNvPr id="8208" name="Graphic 8207">
          <a:extLst>
            <a:ext uri="{FF2B5EF4-FFF2-40B4-BE49-F238E27FC236}">
              <a16:creationId xmlns:a16="http://schemas.microsoft.com/office/drawing/2014/main" id="{00000000-0008-0000-0000-000010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5196840" y="4777740"/>
          <a:ext cx="251460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20</xdr:row>
      <xdr:rowOff>0</xdr:rowOff>
    </xdr:from>
    <xdr:to>
      <xdr:col>8</xdr:col>
      <xdr:colOff>247650</xdr:colOff>
      <xdr:row>21</xdr:row>
      <xdr:rowOff>0</xdr:rowOff>
    </xdr:to>
    <xdr:pic>
      <xdr:nvPicPr>
        <xdr:cNvPr id="8210" name="Graphic 8209">
          <a:extLst>
            <a:ext uri="{FF2B5EF4-FFF2-40B4-BE49-F238E27FC236}">
              <a16:creationId xmlns:a16="http://schemas.microsoft.com/office/drawing/2014/main" id="{00000000-0008-0000-0000-000012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5196840" y="5029200"/>
          <a:ext cx="251460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21</xdr:row>
      <xdr:rowOff>0</xdr:rowOff>
    </xdr:from>
    <xdr:to>
      <xdr:col>8</xdr:col>
      <xdr:colOff>247650</xdr:colOff>
      <xdr:row>22</xdr:row>
      <xdr:rowOff>0</xdr:rowOff>
    </xdr:to>
    <xdr:pic>
      <xdr:nvPicPr>
        <xdr:cNvPr id="8212" name="Graphic 8211">
          <a:extLst>
            <a:ext uri="{FF2B5EF4-FFF2-40B4-BE49-F238E27FC236}">
              <a16:creationId xmlns:a16="http://schemas.microsoft.com/office/drawing/2014/main" id="{00000000-0008-0000-0000-000014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5196840" y="5280660"/>
          <a:ext cx="251460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8</xdr:col>
      <xdr:colOff>247650</xdr:colOff>
      <xdr:row>23</xdr:row>
      <xdr:rowOff>0</xdr:rowOff>
    </xdr:to>
    <xdr:pic>
      <xdr:nvPicPr>
        <xdr:cNvPr id="8214" name="Graphic 8213">
          <a:extLst>
            <a:ext uri="{FF2B5EF4-FFF2-40B4-BE49-F238E27FC236}">
              <a16:creationId xmlns:a16="http://schemas.microsoft.com/office/drawing/2014/main" id="{00000000-0008-0000-0000-000016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196840" y="5532120"/>
          <a:ext cx="251460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</xdr:row>
      <xdr:rowOff>1</xdr:rowOff>
    </xdr:from>
    <xdr:to>
      <xdr:col>8</xdr:col>
      <xdr:colOff>306659</xdr:colOff>
      <xdr:row>24</xdr:row>
      <xdr:rowOff>1</xdr:rowOff>
    </xdr:to>
    <xdr:pic>
      <xdr:nvPicPr>
        <xdr:cNvPr id="8216" name="Graphic 8215">
          <a:extLst>
            <a:ext uri="{FF2B5EF4-FFF2-40B4-BE49-F238E27FC236}">
              <a16:creationId xmlns:a16="http://schemas.microsoft.com/office/drawing/2014/main" id="{00000000-0008-0000-0000-000018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5196840" y="5783581"/>
          <a:ext cx="306659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24</xdr:row>
      <xdr:rowOff>0</xdr:rowOff>
    </xdr:from>
    <xdr:to>
      <xdr:col>8</xdr:col>
      <xdr:colOff>247650</xdr:colOff>
      <xdr:row>25</xdr:row>
      <xdr:rowOff>0</xdr:rowOff>
    </xdr:to>
    <xdr:pic>
      <xdr:nvPicPr>
        <xdr:cNvPr id="8218" name="Graphic 8217">
          <a:extLst>
            <a:ext uri="{FF2B5EF4-FFF2-40B4-BE49-F238E27FC236}">
              <a16:creationId xmlns:a16="http://schemas.microsoft.com/office/drawing/2014/main" id="{00000000-0008-0000-0000-00001A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5196840" y="6035040"/>
          <a:ext cx="251460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25</xdr:row>
      <xdr:rowOff>0</xdr:rowOff>
    </xdr:from>
    <xdr:to>
      <xdr:col>8</xdr:col>
      <xdr:colOff>247650</xdr:colOff>
      <xdr:row>26</xdr:row>
      <xdr:rowOff>0</xdr:rowOff>
    </xdr:to>
    <xdr:pic>
      <xdr:nvPicPr>
        <xdr:cNvPr id="8220" name="Graphic 8219">
          <a:extLst>
            <a:ext uri="{FF2B5EF4-FFF2-40B4-BE49-F238E27FC236}">
              <a16:creationId xmlns:a16="http://schemas.microsoft.com/office/drawing/2014/main" id="{00000000-0008-0000-0000-00001C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5196840" y="6286500"/>
          <a:ext cx="251460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26</xdr:row>
      <xdr:rowOff>0</xdr:rowOff>
    </xdr:from>
    <xdr:to>
      <xdr:col>8</xdr:col>
      <xdr:colOff>247650</xdr:colOff>
      <xdr:row>27</xdr:row>
      <xdr:rowOff>0</xdr:rowOff>
    </xdr:to>
    <xdr:pic>
      <xdr:nvPicPr>
        <xdr:cNvPr id="8222" name="Graphic 8221">
          <a:extLst>
            <a:ext uri="{FF2B5EF4-FFF2-40B4-BE49-F238E27FC236}">
              <a16:creationId xmlns:a16="http://schemas.microsoft.com/office/drawing/2014/main" id="{00000000-0008-0000-0000-00001E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5196840" y="6537960"/>
          <a:ext cx="251460" cy="2514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27</xdr:row>
      <xdr:rowOff>0</xdr:rowOff>
    </xdr:from>
    <xdr:to>
      <xdr:col>8</xdr:col>
      <xdr:colOff>207579</xdr:colOff>
      <xdr:row>28</xdr:row>
      <xdr:rowOff>0</xdr:rowOff>
    </xdr:to>
    <xdr:pic>
      <xdr:nvPicPr>
        <xdr:cNvPr id="8224" name="Graphic 8223">
          <a:extLst>
            <a:ext uri="{FF2B5EF4-FFF2-40B4-BE49-F238E27FC236}">
              <a16:creationId xmlns:a16="http://schemas.microsoft.com/office/drawing/2014/main" id="{00000000-0008-0000-0000-000020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2"/>
            </a:ext>
          </a:extLst>
        </a:blip>
        <a:stretch>
          <a:fillRect/>
        </a:stretch>
      </xdr:blipFill>
      <xdr:spPr>
        <a:xfrm>
          <a:off x="5196840" y="6789420"/>
          <a:ext cx="203769" cy="2514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</xdr:row>
          <xdr:rowOff>0</xdr:rowOff>
        </xdr:from>
        <xdr:to>
          <xdr:col>23</xdr:col>
          <xdr:colOff>234950</xdr:colOff>
          <xdr:row>7</xdr:row>
          <xdr:rowOff>177800</xdr:rowOff>
        </xdr:to>
        <xdr:sp macro="" textlink="">
          <xdr:nvSpPr>
            <xdr:cNvPr id="19512" name="p22" hidden="1">
              <a:extLst>
                <a:ext uri="{63B3BB69-23CF-44E3-9099-C40C66FF867C}">
                  <a14:compatExt spid="_x0000_s19512"/>
                </a:ext>
                <a:ext uri="{FF2B5EF4-FFF2-40B4-BE49-F238E27FC236}">
                  <a16:creationId xmlns:a16="http://schemas.microsoft.com/office/drawing/2014/main" id="{00000000-0008-0000-0700-00003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3</xdr:row>
          <xdr:rowOff>0</xdr:rowOff>
        </xdr:from>
        <xdr:to>
          <xdr:col>27</xdr:col>
          <xdr:colOff>234950</xdr:colOff>
          <xdr:row>7</xdr:row>
          <xdr:rowOff>177800</xdr:rowOff>
        </xdr:to>
        <xdr:sp macro="" textlink="">
          <xdr:nvSpPr>
            <xdr:cNvPr id="19513" name="p23" hidden="1">
              <a:extLst>
                <a:ext uri="{63B3BB69-23CF-44E3-9099-C40C66FF867C}">
                  <a14:compatExt spid="_x0000_s19513"/>
                </a:ext>
                <a:ext uri="{FF2B5EF4-FFF2-40B4-BE49-F238E27FC236}">
                  <a16:creationId xmlns:a16="http://schemas.microsoft.com/office/drawing/2014/main" id="{00000000-0008-0000-0700-00003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3</xdr:row>
          <xdr:rowOff>0</xdr:rowOff>
        </xdr:from>
        <xdr:to>
          <xdr:col>31</xdr:col>
          <xdr:colOff>234950</xdr:colOff>
          <xdr:row>7</xdr:row>
          <xdr:rowOff>177800</xdr:rowOff>
        </xdr:to>
        <xdr:sp macro="" textlink="">
          <xdr:nvSpPr>
            <xdr:cNvPr id="19514" name="p24" hidden="1">
              <a:extLst>
                <a:ext uri="{63B3BB69-23CF-44E3-9099-C40C66FF867C}">
                  <a14:compatExt spid="_x0000_s19514"/>
                </a:ext>
                <a:ext uri="{FF2B5EF4-FFF2-40B4-BE49-F238E27FC236}">
                  <a16:creationId xmlns:a16="http://schemas.microsoft.com/office/drawing/2014/main" id="{00000000-0008-0000-0700-00003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</xdr:row>
          <xdr:rowOff>0</xdr:rowOff>
        </xdr:from>
        <xdr:to>
          <xdr:col>35</xdr:col>
          <xdr:colOff>234950</xdr:colOff>
          <xdr:row>7</xdr:row>
          <xdr:rowOff>177800</xdr:rowOff>
        </xdr:to>
        <xdr:sp macro="" textlink="">
          <xdr:nvSpPr>
            <xdr:cNvPr id="19515" name="p25" hidden="1">
              <a:extLst>
                <a:ext uri="{63B3BB69-23CF-44E3-9099-C40C66FF867C}">
                  <a14:compatExt spid="_x0000_s19515"/>
                </a:ext>
                <a:ext uri="{FF2B5EF4-FFF2-40B4-BE49-F238E27FC236}">
                  <a16:creationId xmlns:a16="http://schemas.microsoft.com/office/drawing/2014/main" id="{00000000-0008-0000-0700-00003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3</xdr:row>
          <xdr:rowOff>0</xdr:rowOff>
        </xdr:from>
        <xdr:to>
          <xdr:col>39</xdr:col>
          <xdr:colOff>234950</xdr:colOff>
          <xdr:row>7</xdr:row>
          <xdr:rowOff>177800</xdr:rowOff>
        </xdr:to>
        <xdr:sp macro="" textlink="">
          <xdr:nvSpPr>
            <xdr:cNvPr id="19516" name="p26" hidden="1">
              <a:extLst>
                <a:ext uri="{63B3BB69-23CF-44E3-9099-C40C66FF867C}">
                  <a14:compatExt spid="_x0000_s19516"/>
                </a:ext>
                <a:ext uri="{FF2B5EF4-FFF2-40B4-BE49-F238E27FC236}">
                  <a16:creationId xmlns:a16="http://schemas.microsoft.com/office/drawing/2014/main" id="{00000000-0008-0000-0700-00003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3</xdr:row>
          <xdr:rowOff>0</xdr:rowOff>
        </xdr:from>
        <xdr:to>
          <xdr:col>43</xdr:col>
          <xdr:colOff>234950</xdr:colOff>
          <xdr:row>7</xdr:row>
          <xdr:rowOff>177800</xdr:rowOff>
        </xdr:to>
        <xdr:sp macro="" textlink="">
          <xdr:nvSpPr>
            <xdr:cNvPr id="19517" name="p27" hidden="1">
              <a:extLst>
                <a:ext uri="{63B3BB69-23CF-44E3-9099-C40C66FF867C}">
                  <a14:compatExt spid="_x0000_s19517"/>
                </a:ext>
                <a:ext uri="{FF2B5EF4-FFF2-40B4-BE49-F238E27FC236}">
                  <a16:creationId xmlns:a16="http://schemas.microsoft.com/office/drawing/2014/main" id="{00000000-0008-0000-0700-00003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0</xdr:colOff>
          <xdr:row>3</xdr:row>
          <xdr:rowOff>0</xdr:rowOff>
        </xdr:from>
        <xdr:to>
          <xdr:col>47</xdr:col>
          <xdr:colOff>234950</xdr:colOff>
          <xdr:row>7</xdr:row>
          <xdr:rowOff>177800</xdr:rowOff>
        </xdr:to>
        <xdr:sp macro="" textlink="">
          <xdr:nvSpPr>
            <xdr:cNvPr id="19518" name="p28" hidden="1">
              <a:extLst>
                <a:ext uri="{63B3BB69-23CF-44E3-9099-C40C66FF867C}">
                  <a14:compatExt spid="_x0000_s19518"/>
                </a:ext>
                <a:ext uri="{FF2B5EF4-FFF2-40B4-BE49-F238E27FC236}">
                  <a16:creationId xmlns:a16="http://schemas.microsoft.com/office/drawing/2014/main" id="{00000000-0008-0000-0700-00003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6350</xdr:colOff>
          <xdr:row>8</xdr:row>
          <xdr:rowOff>0</xdr:rowOff>
        </xdr:from>
        <xdr:to>
          <xdr:col>25</xdr:col>
          <xdr:colOff>241300</xdr:colOff>
          <xdr:row>12</xdr:row>
          <xdr:rowOff>177800</xdr:rowOff>
        </xdr:to>
        <xdr:sp macro="" textlink="">
          <xdr:nvSpPr>
            <xdr:cNvPr id="19519" name="p15" hidden="1">
              <a:extLst>
                <a:ext uri="{63B3BB69-23CF-44E3-9099-C40C66FF867C}">
                  <a14:compatExt spid="_x0000_s19519"/>
                </a:ext>
                <a:ext uri="{FF2B5EF4-FFF2-40B4-BE49-F238E27FC236}">
                  <a16:creationId xmlns:a16="http://schemas.microsoft.com/office/drawing/2014/main" id="{00000000-0008-0000-0700-00003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6350</xdr:colOff>
          <xdr:row>8</xdr:row>
          <xdr:rowOff>0</xdr:rowOff>
        </xdr:from>
        <xdr:to>
          <xdr:col>29</xdr:col>
          <xdr:colOff>241300</xdr:colOff>
          <xdr:row>12</xdr:row>
          <xdr:rowOff>177800</xdr:rowOff>
        </xdr:to>
        <xdr:sp macro="" textlink="">
          <xdr:nvSpPr>
            <xdr:cNvPr id="19520" name="p16" hidden="1">
              <a:extLst>
                <a:ext uri="{63B3BB69-23CF-44E3-9099-C40C66FF867C}">
                  <a14:compatExt spid="_x0000_s19520"/>
                </a:ext>
                <a:ext uri="{FF2B5EF4-FFF2-40B4-BE49-F238E27FC236}">
                  <a16:creationId xmlns:a16="http://schemas.microsoft.com/office/drawing/2014/main" id="{00000000-0008-0000-0700-00004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6350</xdr:colOff>
          <xdr:row>8</xdr:row>
          <xdr:rowOff>0</xdr:rowOff>
        </xdr:from>
        <xdr:to>
          <xdr:col>33</xdr:col>
          <xdr:colOff>241300</xdr:colOff>
          <xdr:row>12</xdr:row>
          <xdr:rowOff>177800</xdr:rowOff>
        </xdr:to>
        <xdr:sp macro="" textlink="">
          <xdr:nvSpPr>
            <xdr:cNvPr id="19521" name="p17" hidden="1">
              <a:extLst>
                <a:ext uri="{63B3BB69-23CF-44E3-9099-C40C66FF867C}">
                  <a14:compatExt spid="_x0000_s19521"/>
                </a:ext>
                <a:ext uri="{FF2B5EF4-FFF2-40B4-BE49-F238E27FC236}">
                  <a16:creationId xmlns:a16="http://schemas.microsoft.com/office/drawing/2014/main" id="{00000000-0008-0000-0700-00004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6350</xdr:colOff>
          <xdr:row>8</xdr:row>
          <xdr:rowOff>0</xdr:rowOff>
        </xdr:from>
        <xdr:to>
          <xdr:col>37</xdr:col>
          <xdr:colOff>241300</xdr:colOff>
          <xdr:row>12</xdr:row>
          <xdr:rowOff>177800</xdr:rowOff>
        </xdr:to>
        <xdr:sp macro="" textlink="">
          <xdr:nvSpPr>
            <xdr:cNvPr id="19522" name="p18" hidden="1">
              <a:extLst>
                <a:ext uri="{63B3BB69-23CF-44E3-9099-C40C66FF867C}">
                  <a14:compatExt spid="_x0000_s19522"/>
                </a:ext>
                <a:ext uri="{FF2B5EF4-FFF2-40B4-BE49-F238E27FC236}">
                  <a16:creationId xmlns:a16="http://schemas.microsoft.com/office/drawing/2014/main" id="{00000000-0008-0000-0700-00004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6350</xdr:colOff>
          <xdr:row>8</xdr:row>
          <xdr:rowOff>0</xdr:rowOff>
        </xdr:from>
        <xdr:to>
          <xdr:col>41</xdr:col>
          <xdr:colOff>241300</xdr:colOff>
          <xdr:row>12</xdr:row>
          <xdr:rowOff>177800</xdr:rowOff>
        </xdr:to>
        <xdr:sp macro="" textlink="">
          <xdr:nvSpPr>
            <xdr:cNvPr id="19523" name="p19" hidden="1">
              <a:extLst>
                <a:ext uri="{63B3BB69-23CF-44E3-9099-C40C66FF867C}">
                  <a14:compatExt spid="_x0000_s19523"/>
                </a:ext>
                <a:ext uri="{FF2B5EF4-FFF2-40B4-BE49-F238E27FC236}">
                  <a16:creationId xmlns:a16="http://schemas.microsoft.com/office/drawing/2014/main" id="{00000000-0008-0000-0700-00004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6350</xdr:colOff>
          <xdr:row>8</xdr:row>
          <xdr:rowOff>0</xdr:rowOff>
        </xdr:from>
        <xdr:to>
          <xdr:col>45</xdr:col>
          <xdr:colOff>241300</xdr:colOff>
          <xdr:row>12</xdr:row>
          <xdr:rowOff>177800</xdr:rowOff>
        </xdr:to>
        <xdr:sp macro="" textlink="">
          <xdr:nvSpPr>
            <xdr:cNvPr id="19524" name="p20" hidden="1">
              <a:extLst>
                <a:ext uri="{63B3BB69-23CF-44E3-9099-C40C66FF867C}">
                  <a14:compatExt spid="_x0000_s19524"/>
                </a:ext>
                <a:ext uri="{FF2B5EF4-FFF2-40B4-BE49-F238E27FC236}">
                  <a16:creationId xmlns:a16="http://schemas.microsoft.com/office/drawing/2014/main" id="{00000000-0008-0000-0700-00004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6350</xdr:colOff>
          <xdr:row>8</xdr:row>
          <xdr:rowOff>0</xdr:rowOff>
        </xdr:from>
        <xdr:to>
          <xdr:col>49</xdr:col>
          <xdr:colOff>241300</xdr:colOff>
          <xdr:row>12</xdr:row>
          <xdr:rowOff>177800</xdr:rowOff>
        </xdr:to>
        <xdr:sp macro="" textlink="">
          <xdr:nvSpPr>
            <xdr:cNvPr id="19525" name="p21" hidden="1">
              <a:extLst>
                <a:ext uri="{63B3BB69-23CF-44E3-9099-C40C66FF867C}">
                  <a14:compatExt spid="_x0000_s19525"/>
                </a:ext>
                <a:ext uri="{FF2B5EF4-FFF2-40B4-BE49-F238E27FC236}">
                  <a16:creationId xmlns:a16="http://schemas.microsoft.com/office/drawing/2014/main" id="{00000000-0008-0000-0700-00004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13</xdr:row>
          <xdr:rowOff>0</xdr:rowOff>
        </xdr:from>
        <xdr:to>
          <xdr:col>23</xdr:col>
          <xdr:colOff>234950</xdr:colOff>
          <xdr:row>17</xdr:row>
          <xdr:rowOff>177800</xdr:rowOff>
        </xdr:to>
        <xdr:sp macro="" textlink="">
          <xdr:nvSpPr>
            <xdr:cNvPr id="19526" name="p8" hidden="1">
              <a:extLst>
                <a:ext uri="{63B3BB69-23CF-44E3-9099-C40C66FF867C}">
                  <a14:compatExt spid="_x0000_s19526"/>
                </a:ext>
                <a:ext uri="{FF2B5EF4-FFF2-40B4-BE49-F238E27FC236}">
                  <a16:creationId xmlns:a16="http://schemas.microsoft.com/office/drawing/2014/main" id="{00000000-0008-0000-0700-00004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13</xdr:row>
          <xdr:rowOff>0</xdr:rowOff>
        </xdr:from>
        <xdr:to>
          <xdr:col>27</xdr:col>
          <xdr:colOff>234950</xdr:colOff>
          <xdr:row>17</xdr:row>
          <xdr:rowOff>177800</xdr:rowOff>
        </xdr:to>
        <xdr:sp macro="" textlink="">
          <xdr:nvSpPr>
            <xdr:cNvPr id="19527" name="p9" hidden="1">
              <a:extLst>
                <a:ext uri="{63B3BB69-23CF-44E3-9099-C40C66FF867C}">
                  <a14:compatExt spid="_x0000_s19527"/>
                </a:ext>
                <a:ext uri="{FF2B5EF4-FFF2-40B4-BE49-F238E27FC236}">
                  <a16:creationId xmlns:a16="http://schemas.microsoft.com/office/drawing/2014/main" id="{00000000-0008-0000-0700-00004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13</xdr:row>
          <xdr:rowOff>0</xdr:rowOff>
        </xdr:from>
        <xdr:to>
          <xdr:col>31</xdr:col>
          <xdr:colOff>234950</xdr:colOff>
          <xdr:row>17</xdr:row>
          <xdr:rowOff>177800</xdr:rowOff>
        </xdr:to>
        <xdr:sp macro="" textlink="">
          <xdr:nvSpPr>
            <xdr:cNvPr id="19528" name="p10" hidden="1">
              <a:extLst>
                <a:ext uri="{63B3BB69-23CF-44E3-9099-C40C66FF867C}">
                  <a14:compatExt spid="_x0000_s19528"/>
                </a:ext>
                <a:ext uri="{FF2B5EF4-FFF2-40B4-BE49-F238E27FC236}">
                  <a16:creationId xmlns:a16="http://schemas.microsoft.com/office/drawing/2014/main" id="{00000000-0008-0000-0700-00004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35</xdr:col>
          <xdr:colOff>234950</xdr:colOff>
          <xdr:row>17</xdr:row>
          <xdr:rowOff>177800</xdr:rowOff>
        </xdr:to>
        <xdr:sp macro="" textlink="">
          <xdr:nvSpPr>
            <xdr:cNvPr id="19529" name="p11" hidden="1">
              <a:extLst>
                <a:ext uri="{63B3BB69-23CF-44E3-9099-C40C66FF867C}">
                  <a14:compatExt spid="_x0000_s19529"/>
                </a:ext>
                <a:ext uri="{FF2B5EF4-FFF2-40B4-BE49-F238E27FC236}">
                  <a16:creationId xmlns:a16="http://schemas.microsoft.com/office/drawing/2014/main" id="{00000000-0008-0000-0700-00004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13</xdr:row>
          <xdr:rowOff>0</xdr:rowOff>
        </xdr:from>
        <xdr:to>
          <xdr:col>39</xdr:col>
          <xdr:colOff>234950</xdr:colOff>
          <xdr:row>17</xdr:row>
          <xdr:rowOff>177800</xdr:rowOff>
        </xdr:to>
        <xdr:sp macro="" textlink="">
          <xdr:nvSpPr>
            <xdr:cNvPr id="19530" name="p12" hidden="1">
              <a:extLst>
                <a:ext uri="{63B3BB69-23CF-44E3-9099-C40C66FF867C}">
                  <a14:compatExt spid="_x0000_s19530"/>
                </a:ext>
                <a:ext uri="{FF2B5EF4-FFF2-40B4-BE49-F238E27FC236}">
                  <a16:creationId xmlns:a16="http://schemas.microsoft.com/office/drawing/2014/main" id="{00000000-0008-0000-0700-00004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13</xdr:row>
          <xdr:rowOff>0</xdr:rowOff>
        </xdr:from>
        <xdr:to>
          <xdr:col>43</xdr:col>
          <xdr:colOff>234950</xdr:colOff>
          <xdr:row>17</xdr:row>
          <xdr:rowOff>177800</xdr:rowOff>
        </xdr:to>
        <xdr:sp macro="" textlink="">
          <xdr:nvSpPr>
            <xdr:cNvPr id="19531" name="p13" hidden="1">
              <a:extLst>
                <a:ext uri="{63B3BB69-23CF-44E3-9099-C40C66FF867C}">
                  <a14:compatExt spid="_x0000_s19531"/>
                </a:ext>
                <a:ext uri="{FF2B5EF4-FFF2-40B4-BE49-F238E27FC236}">
                  <a16:creationId xmlns:a16="http://schemas.microsoft.com/office/drawing/2014/main" id="{00000000-0008-0000-0700-00004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0</xdr:colOff>
          <xdr:row>13</xdr:row>
          <xdr:rowOff>0</xdr:rowOff>
        </xdr:from>
        <xdr:to>
          <xdr:col>47</xdr:col>
          <xdr:colOff>234950</xdr:colOff>
          <xdr:row>17</xdr:row>
          <xdr:rowOff>177800</xdr:rowOff>
        </xdr:to>
        <xdr:sp macro="" textlink="">
          <xdr:nvSpPr>
            <xdr:cNvPr id="19532" name="p14" hidden="1">
              <a:extLst>
                <a:ext uri="{63B3BB69-23CF-44E3-9099-C40C66FF867C}">
                  <a14:compatExt spid="_x0000_s19532"/>
                </a:ext>
                <a:ext uri="{FF2B5EF4-FFF2-40B4-BE49-F238E27FC236}">
                  <a16:creationId xmlns:a16="http://schemas.microsoft.com/office/drawing/2014/main" id="{00000000-0008-0000-0700-00004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25</xdr:row>
          <xdr:rowOff>0</xdr:rowOff>
        </xdr:from>
        <xdr:to>
          <xdr:col>20</xdr:col>
          <xdr:colOff>234950</xdr:colOff>
          <xdr:row>29</xdr:row>
          <xdr:rowOff>177800</xdr:rowOff>
        </xdr:to>
        <xdr:sp macro="" textlink="">
          <xdr:nvSpPr>
            <xdr:cNvPr id="19535" name="p29" hidden="1">
              <a:extLst>
                <a:ext uri="{63B3BB69-23CF-44E3-9099-C40C66FF867C}">
                  <a14:compatExt spid="_x0000_s19535"/>
                </a:ext>
                <a:ext uri="{FF2B5EF4-FFF2-40B4-BE49-F238E27FC236}">
                  <a16:creationId xmlns:a16="http://schemas.microsoft.com/office/drawing/2014/main" id="{00000000-0008-0000-0700-00004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25</xdr:row>
          <xdr:rowOff>0</xdr:rowOff>
        </xdr:from>
        <xdr:to>
          <xdr:col>24</xdr:col>
          <xdr:colOff>234950</xdr:colOff>
          <xdr:row>29</xdr:row>
          <xdr:rowOff>177800</xdr:rowOff>
        </xdr:to>
        <xdr:sp macro="" textlink="">
          <xdr:nvSpPr>
            <xdr:cNvPr id="19536" name="p30" hidden="1">
              <a:extLst>
                <a:ext uri="{63B3BB69-23CF-44E3-9099-C40C66FF867C}">
                  <a14:compatExt spid="_x0000_s19536"/>
                </a:ext>
                <a:ext uri="{FF2B5EF4-FFF2-40B4-BE49-F238E27FC236}">
                  <a16:creationId xmlns:a16="http://schemas.microsoft.com/office/drawing/2014/main" id="{00000000-0008-0000-0700-00005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28</xdr:col>
          <xdr:colOff>234950</xdr:colOff>
          <xdr:row>29</xdr:row>
          <xdr:rowOff>177800</xdr:rowOff>
        </xdr:to>
        <xdr:sp macro="" textlink="">
          <xdr:nvSpPr>
            <xdr:cNvPr id="19537" name="p31" hidden="1">
              <a:extLst>
                <a:ext uri="{63B3BB69-23CF-44E3-9099-C40C66FF867C}">
                  <a14:compatExt spid="_x0000_s19537"/>
                </a:ext>
                <a:ext uri="{FF2B5EF4-FFF2-40B4-BE49-F238E27FC236}">
                  <a16:creationId xmlns:a16="http://schemas.microsoft.com/office/drawing/2014/main" id="{00000000-0008-0000-0700-00005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25</xdr:row>
          <xdr:rowOff>0</xdr:rowOff>
        </xdr:from>
        <xdr:to>
          <xdr:col>32</xdr:col>
          <xdr:colOff>234950</xdr:colOff>
          <xdr:row>29</xdr:row>
          <xdr:rowOff>177800</xdr:rowOff>
        </xdr:to>
        <xdr:sp macro="" textlink="">
          <xdr:nvSpPr>
            <xdr:cNvPr id="19538" name="p32" hidden="1">
              <a:extLst>
                <a:ext uri="{63B3BB69-23CF-44E3-9099-C40C66FF867C}">
                  <a14:compatExt spid="_x0000_s19538"/>
                </a:ext>
                <a:ext uri="{FF2B5EF4-FFF2-40B4-BE49-F238E27FC236}">
                  <a16:creationId xmlns:a16="http://schemas.microsoft.com/office/drawing/2014/main" id="{00000000-0008-0000-0700-00005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0</xdr:colOff>
          <xdr:row>25</xdr:row>
          <xdr:rowOff>0</xdr:rowOff>
        </xdr:from>
        <xdr:to>
          <xdr:col>36</xdr:col>
          <xdr:colOff>234950</xdr:colOff>
          <xdr:row>29</xdr:row>
          <xdr:rowOff>177800</xdr:rowOff>
        </xdr:to>
        <xdr:sp macro="" textlink="">
          <xdr:nvSpPr>
            <xdr:cNvPr id="19539" name="p33" hidden="1">
              <a:extLst>
                <a:ext uri="{63B3BB69-23CF-44E3-9099-C40C66FF867C}">
                  <a14:compatExt spid="_x0000_s19539"/>
                </a:ext>
                <a:ext uri="{FF2B5EF4-FFF2-40B4-BE49-F238E27FC236}">
                  <a16:creationId xmlns:a16="http://schemas.microsoft.com/office/drawing/2014/main" id="{00000000-0008-0000-0700-00005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25</xdr:row>
          <xdr:rowOff>0</xdr:rowOff>
        </xdr:from>
        <xdr:to>
          <xdr:col>40</xdr:col>
          <xdr:colOff>234950</xdr:colOff>
          <xdr:row>29</xdr:row>
          <xdr:rowOff>177800</xdr:rowOff>
        </xdr:to>
        <xdr:sp macro="" textlink="">
          <xdr:nvSpPr>
            <xdr:cNvPr id="19542" name="p34" hidden="1">
              <a:extLst>
                <a:ext uri="{63B3BB69-23CF-44E3-9099-C40C66FF867C}">
                  <a14:compatExt spid="_x0000_s19542"/>
                </a:ext>
                <a:ext uri="{FF2B5EF4-FFF2-40B4-BE49-F238E27FC236}">
                  <a16:creationId xmlns:a16="http://schemas.microsoft.com/office/drawing/2014/main" id="{00000000-0008-0000-0700-00005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25</xdr:row>
          <xdr:rowOff>0</xdr:rowOff>
        </xdr:from>
        <xdr:to>
          <xdr:col>44</xdr:col>
          <xdr:colOff>234950</xdr:colOff>
          <xdr:row>29</xdr:row>
          <xdr:rowOff>177800</xdr:rowOff>
        </xdr:to>
        <xdr:sp macro="" textlink="">
          <xdr:nvSpPr>
            <xdr:cNvPr id="19543" name="p35" hidden="1">
              <a:extLst>
                <a:ext uri="{63B3BB69-23CF-44E3-9099-C40C66FF867C}">
                  <a14:compatExt spid="_x0000_s19543"/>
                </a:ext>
                <a:ext uri="{FF2B5EF4-FFF2-40B4-BE49-F238E27FC236}">
                  <a16:creationId xmlns:a16="http://schemas.microsoft.com/office/drawing/2014/main" id="{00000000-0008-0000-0700-00005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0</xdr:colOff>
          <xdr:row>25</xdr:row>
          <xdr:rowOff>0</xdr:rowOff>
        </xdr:from>
        <xdr:to>
          <xdr:col>48</xdr:col>
          <xdr:colOff>234950</xdr:colOff>
          <xdr:row>29</xdr:row>
          <xdr:rowOff>177800</xdr:rowOff>
        </xdr:to>
        <xdr:sp macro="" textlink="">
          <xdr:nvSpPr>
            <xdr:cNvPr id="19544" name="p36" hidden="1">
              <a:extLst>
                <a:ext uri="{63B3BB69-23CF-44E3-9099-C40C66FF867C}">
                  <a14:compatExt spid="_x0000_s19544"/>
                </a:ext>
                <a:ext uri="{FF2B5EF4-FFF2-40B4-BE49-F238E27FC236}">
                  <a16:creationId xmlns:a16="http://schemas.microsoft.com/office/drawing/2014/main" id="{00000000-0008-0000-0700-00005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25</xdr:row>
          <xdr:rowOff>0</xdr:rowOff>
        </xdr:from>
        <xdr:to>
          <xdr:col>52</xdr:col>
          <xdr:colOff>234950</xdr:colOff>
          <xdr:row>29</xdr:row>
          <xdr:rowOff>177800</xdr:rowOff>
        </xdr:to>
        <xdr:sp macro="" textlink="">
          <xdr:nvSpPr>
            <xdr:cNvPr id="19545" name="p37" hidden="1">
              <a:extLst>
                <a:ext uri="{63B3BB69-23CF-44E3-9099-C40C66FF867C}">
                  <a14:compatExt spid="_x0000_s19545"/>
                </a:ext>
                <a:ext uri="{FF2B5EF4-FFF2-40B4-BE49-F238E27FC236}">
                  <a16:creationId xmlns:a16="http://schemas.microsoft.com/office/drawing/2014/main" id="{00000000-0008-0000-0700-00005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32</xdr:row>
          <xdr:rowOff>0</xdr:rowOff>
        </xdr:from>
        <xdr:to>
          <xdr:col>28</xdr:col>
          <xdr:colOff>0</xdr:colOff>
          <xdr:row>38</xdr:row>
          <xdr:rowOff>0</xdr:rowOff>
        </xdr:to>
        <xdr:sp macro="" textlink="">
          <xdr:nvSpPr>
            <xdr:cNvPr id="19546" name="c1" hidden="1">
              <a:extLst>
                <a:ext uri="{63B3BB69-23CF-44E3-9099-C40C66FF867C}">
                  <a14:compatExt spid="_x0000_s19546"/>
                </a:ext>
                <a:ext uri="{FF2B5EF4-FFF2-40B4-BE49-F238E27FC236}">
                  <a16:creationId xmlns:a16="http://schemas.microsoft.com/office/drawing/2014/main" id="{00000000-0008-0000-0700-00005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32</xdr:row>
          <xdr:rowOff>0</xdr:rowOff>
        </xdr:from>
        <xdr:to>
          <xdr:col>33</xdr:col>
          <xdr:colOff>222250</xdr:colOff>
          <xdr:row>37</xdr:row>
          <xdr:rowOff>177800</xdr:rowOff>
        </xdr:to>
        <xdr:sp macro="" textlink="">
          <xdr:nvSpPr>
            <xdr:cNvPr id="19547" name="c2" hidden="1">
              <a:extLst>
                <a:ext uri="{63B3BB69-23CF-44E3-9099-C40C66FF867C}">
                  <a14:compatExt spid="_x0000_s19547"/>
                </a:ext>
                <a:ext uri="{FF2B5EF4-FFF2-40B4-BE49-F238E27FC236}">
                  <a16:creationId xmlns:a16="http://schemas.microsoft.com/office/drawing/2014/main" id="{00000000-0008-0000-0700-00005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0</xdr:colOff>
          <xdr:row>32</xdr:row>
          <xdr:rowOff>0</xdr:rowOff>
        </xdr:from>
        <xdr:to>
          <xdr:col>39</xdr:col>
          <xdr:colOff>222250</xdr:colOff>
          <xdr:row>37</xdr:row>
          <xdr:rowOff>177800</xdr:rowOff>
        </xdr:to>
        <xdr:sp macro="" textlink="">
          <xdr:nvSpPr>
            <xdr:cNvPr id="19548" name="c3" hidden="1">
              <a:extLst>
                <a:ext uri="{63B3BB69-23CF-44E3-9099-C40C66FF867C}">
                  <a14:compatExt spid="_x0000_s19548"/>
                </a:ext>
                <a:ext uri="{FF2B5EF4-FFF2-40B4-BE49-F238E27FC236}">
                  <a16:creationId xmlns:a16="http://schemas.microsoft.com/office/drawing/2014/main" id="{00000000-0008-0000-0700-00005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32</xdr:row>
          <xdr:rowOff>0</xdr:rowOff>
        </xdr:from>
        <xdr:to>
          <xdr:col>45</xdr:col>
          <xdr:colOff>222250</xdr:colOff>
          <xdr:row>37</xdr:row>
          <xdr:rowOff>177800</xdr:rowOff>
        </xdr:to>
        <xdr:sp macro="" textlink="">
          <xdr:nvSpPr>
            <xdr:cNvPr id="19549" name="c4" hidden="1">
              <a:extLst>
                <a:ext uri="{63B3BB69-23CF-44E3-9099-C40C66FF867C}">
                  <a14:compatExt spid="_x0000_s19549"/>
                </a:ext>
                <a:ext uri="{FF2B5EF4-FFF2-40B4-BE49-F238E27FC236}">
                  <a16:creationId xmlns:a16="http://schemas.microsoft.com/office/drawing/2014/main" id="{00000000-0008-0000-0700-00005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51</xdr:col>
          <xdr:colOff>222250</xdr:colOff>
          <xdr:row>37</xdr:row>
          <xdr:rowOff>177800</xdr:rowOff>
        </xdr:to>
        <xdr:sp macro="" textlink="">
          <xdr:nvSpPr>
            <xdr:cNvPr id="19550" name="c5" hidden="1">
              <a:extLst>
                <a:ext uri="{63B3BB69-23CF-44E3-9099-C40C66FF867C}">
                  <a14:compatExt spid="_x0000_s19550"/>
                </a:ext>
                <a:ext uri="{FF2B5EF4-FFF2-40B4-BE49-F238E27FC236}">
                  <a16:creationId xmlns:a16="http://schemas.microsoft.com/office/drawing/2014/main" id="{00000000-0008-0000-0700-00005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22</xdr:col>
          <xdr:colOff>0</xdr:colOff>
          <xdr:row>35</xdr:row>
          <xdr:rowOff>0</xdr:rowOff>
        </xdr:to>
        <xdr:sp macro="" textlink="">
          <xdr:nvSpPr>
            <xdr:cNvPr id="19552" name="buyxp" hidden="1">
              <a:extLst>
                <a:ext uri="{63B3BB69-23CF-44E3-9099-C40C66FF867C}">
                  <a14:compatExt spid="_x0000_s19552"/>
                </a:ext>
                <a:ext uri="{FF2B5EF4-FFF2-40B4-BE49-F238E27FC236}">
                  <a16:creationId xmlns:a16="http://schemas.microsoft.com/office/drawing/2014/main" id="{00000000-0008-0000-0700-00006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22</xdr:col>
          <xdr:colOff>0</xdr:colOff>
          <xdr:row>38</xdr:row>
          <xdr:rowOff>0</xdr:rowOff>
        </xdr:to>
        <xdr:sp macro="" textlink="">
          <xdr:nvSpPr>
            <xdr:cNvPr id="19553" name="refresh" hidden="1">
              <a:extLst>
                <a:ext uri="{63B3BB69-23CF-44E3-9099-C40C66FF867C}">
                  <a14:compatExt spid="_x0000_s19553"/>
                </a:ext>
                <a:ext uri="{FF2B5EF4-FFF2-40B4-BE49-F238E27FC236}">
                  <a16:creationId xmlns:a16="http://schemas.microsoft.com/office/drawing/2014/main" id="{00000000-0008-0000-0700-00006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18</xdr:row>
          <xdr:rowOff>0</xdr:rowOff>
        </xdr:from>
        <xdr:to>
          <xdr:col>25</xdr:col>
          <xdr:colOff>234950</xdr:colOff>
          <xdr:row>22</xdr:row>
          <xdr:rowOff>177800</xdr:rowOff>
        </xdr:to>
        <xdr:sp macro="" textlink="">
          <xdr:nvSpPr>
            <xdr:cNvPr id="19554" name="p1" hidden="1">
              <a:extLst>
                <a:ext uri="{63B3BB69-23CF-44E3-9099-C40C66FF867C}">
                  <a14:compatExt spid="_x0000_s19554"/>
                </a:ext>
                <a:ext uri="{FF2B5EF4-FFF2-40B4-BE49-F238E27FC236}">
                  <a16:creationId xmlns:a16="http://schemas.microsoft.com/office/drawing/2014/main" id="{00000000-0008-0000-0700-00006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18</xdr:row>
          <xdr:rowOff>0</xdr:rowOff>
        </xdr:from>
        <xdr:to>
          <xdr:col>29</xdr:col>
          <xdr:colOff>234950</xdr:colOff>
          <xdr:row>22</xdr:row>
          <xdr:rowOff>177800</xdr:rowOff>
        </xdr:to>
        <xdr:sp macro="" textlink="">
          <xdr:nvSpPr>
            <xdr:cNvPr id="19555" name="p2" hidden="1">
              <a:extLst>
                <a:ext uri="{63B3BB69-23CF-44E3-9099-C40C66FF867C}">
                  <a14:compatExt spid="_x0000_s19555"/>
                </a:ext>
                <a:ext uri="{FF2B5EF4-FFF2-40B4-BE49-F238E27FC236}">
                  <a16:creationId xmlns:a16="http://schemas.microsoft.com/office/drawing/2014/main" id="{00000000-0008-0000-0700-00006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18</xdr:row>
          <xdr:rowOff>0</xdr:rowOff>
        </xdr:from>
        <xdr:to>
          <xdr:col>33</xdr:col>
          <xdr:colOff>234950</xdr:colOff>
          <xdr:row>22</xdr:row>
          <xdr:rowOff>177800</xdr:rowOff>
        </xdr:to>
        <xdr:sp macro="" textlink="">
          <xdr:nvSpPr>
            <xdr:cNvPr id="19556" name="p3" hidden="1">
              <a:extLst>
                <a:ext uri="{63B3BB69-23CF-44E3-9099-C40C66FF867C}">
                  <a14:compatExt spid="_x0000_s19556"/>
                </a:ext>
                <a:ext uri="{FF2B5EF4-FFF2-40B4-BE49-F238E27FC236}">
                  <a16:creationId xmlns:a16="http://schemas.microsoft.com/office/drawing/2014/main" id="{00000000-0008-0000-0700-00006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0</xdr:colOff>
          <xdr:row>18</xdr:row>
          <xdr:rowOff>0</xdr:rowOff>
        </xdr:from>
        <xdr:to>
          <xdr:col>37</xdr:col>
          <xdr:colOff>234950</xdr:colOff>
          <xdr:row>22</xdr:row>
          <xdr:rowOff>177800</xdr:rowOff>
        </xdr:to>
        <xdr:sp macro="" textlink="">
          <xdr:nvSpPr>
            <xdr:cNvPr id="19557" name="p4" hidden="1">
              <a:extLst>
                <a:ext uri="{63B3BB69-23CF-44E3-9099-C40C66FF867C}">
                  <a14:compatExt spid="_x0000_s19557"/>
                </a:ext>
                <a:ext uri="{FF2B5EF4-FFF2-40B4-BE49-F238E27FC236}">
                  <a16:creationId xmlns:a16="http://schemas.microsoft.com/office/drawing/2014/main" id="{00000000-0008-0000-0700-00006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0</xdr:colOff>
          <xdr:row>18</xdr:row>
          <xdr:rowOff>0</xdr:rowOff>
        </xdr:from>
        <xdr:to>
          <xdr:col>41</xdr:col>
          <xdr:colOff>234950</xdr:colOff>
          <xdr:row>22</xdr:row>
          <xdr:rowOff>177800</xdr:rowOff>
        </xdr:to>
        <xdr:sp macro="" textlink="">
          <xdr:nvSpPr>
            <xdr:cNvPr id="19558" name="p5" hidden="1">
              <a:extLst>
                <a:ext uri="{63B3BB69-23CF-44E3-9099-C40C66FF867C}">
                  <a14:compatExt spid="_x0000_s19558"/>
                </a:ext>
                <a:ext uri="{FF2B5EF4-FFF2-40B4-BE49-F238E27FC236}">
                  <a16:creationId xmlns:a16="http://schemas.microsoft.com/office/drawing/2014/main" id="{00000000-0008-0000-0700-00006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0</xdr:colOff>
          <xdr:row>18</xdr:row>
          <xdr:rowOff>0</xdr:rowOff>
        </xdr:from>
        <xdr:to>
          <xdr:col>45</xdr:col>
          <xdr:colOff>234950</xdr:colOff>
          <xdr:row>22</xdr:row>
          <xdr:rowOff>177800</xdr:rowOff>
        </xdr:to>
        <xdr:sp macro="" textlink="">
          <xdr:nvSpPr>
            <xdr:cNvPr id="19559" name="p6" hidden="1">
              <a:extLst>
                <a:ext uri="{63B3BB69-23CF-44E3-9099-C40C66FF867C}">
                  <a14:compatExt spid="_x0000_s19559"/>
                </a:ext>
                <a:ext uri="{FF2B5EF4-FFF2-40B4-BE49-F238E27FC236}">
                  <a16:creationId xmlns:a16="http://schemas.microsoft.com/office/drawing/2014/main" id="{00000000-0008-0000-0700-00006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49</xdr:col>
          <xdr:colOff>234950</xdr:colOff>
          <xdr:row>22</xdr:row>
          <xdr:rowOff>177800</xdr:rowOff>
        </xdr:to>
        <xdr:sp macro="" textlink="">
          <xdr:nvSpPr>
            <xdr:cNvPr id="19560" name="p7" hidden="1">
              <a:extLst>
                <a:ext uri="{63B3BB69-23CF-44E3-9099-C40C66FF867C}">
                  <a14:compatExt spid="_x0000_s19560"/>
                </a:ext>
                <a:ext uri="{FF2B5EF4-FFF2-40B4-BE49-F238E27FC236}">
                  <a16:creationId xmlns:a16="http://schemas.microsoft.com/office/drawing/2014/main" id="{00000000-0008-0000-0700-00006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19563" name="Button 107" hidden="1">
              <a:extLst>
                <a:ext uri="{63B3BB69-23CF-44E3-9099-C40C66FF867C}">
                  <a14:compatExt spid="_x0000_s19563"/>
                </a:ext>
                <a:ext uri="{FF2B5EF4-FFF2-40B4-BE49-F238E27FC236}">
                  <a16:creationId xmlns:a16="http://schemas.microsoft.com/office/drawing/2014/main" id="{00000000-0008-0000-0700-00006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tsv to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19564" name="Button 108" hidden="1">
              <a:extLst>
                <a:ext uri="{63B3BB69-23CF-44E3-9099-C40C66FF867C}">
                  <a14:compatExt spid="_x0000_s19564"/>
                </a:ext>
                <a:ext uri="{FF2B5EF4-FFF2-40B4-BE49-F238E27FC236}">
                  <a16:creationId xmlns:a16="http://schemas.microsoft.com/office/drawing/2014/main" id="{00000000-0008-0000-0700-00006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pospast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19565" name="Button 109" hidden="1">
              <a:extLst>
                <a:ext uri="{63B3BB69-23CF-44E3-9099-C40C66FF867C}">
                  <a14:compatExt spid="_x0000_s19565"/>
                </a:ext>
                <a:ext uri="{FF2B5EF4-FFF2-40B4-BE49-F238E27FC236}">
                  <a16:creationId xmlns:a16="http://schemas.microsoft.com/office/drawing/2014/main" id="{00000000-0008-0000-0700-00006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24</xdr:row>
          <xdr:rowOff>6350</xdr:rowOff>
        </xdr:from>
        <xdr:to>
          <xdr:col>4</xdr:col>
          <xdr:colOff>0</xdr:colOff>
          <xdr:row>27</xdr:row>
          <xdr:rowOff>6350</xdr:rowOff>
        </xdr:to>
        <xdr:sp macro="" textlink="">
          <xdr:nvSpPr>
            <xdr:cNvPr id="19566" name="Button 110" hidden="1">
              <a:extLst>
                <a:ext uri="{63B3BB69-23CF-44E3-9099-C40C66FF867C}">
                  <a14:compatExt spid="_x0000_s19566"/>
                </a:ext>
                <a:ext uri="{FF2B5EF4-FFF2-40B4-BE49-F238E27FC236}">
                  <a16:creationId xmlns:a16="http://schemas.microsoft.com/office/drawing/2014/main" id="{00000000-0008-0000-0700-00006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caption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215900</xdr:colOff>
          <xdr:row>31</xdr:row>
          <xdr:rowOff>31750</xdr:rowOff>
        </xdr:from>
        <xdr:to>
          <xdr:col>8</xdr:col>
          <xdr:colOff>254000</xdr:colOff>
          <xdr:row>36</xdr:row>
          <xdr:rowOff>165100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F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and save 10088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60.emf"/><Relationship Id="rId21" Type="http://schemas.openxmlformats.org/officeDocument/2006/relationships/control" Target="../activeX/activeX13.xml"/><Relationship Id="rId34" Type="http://schemas.openxmlformats.org/officeDocument/2006/relationships/image" Target="../media/image64.emf"/><Relationship Id="rId42" Type="http://schemas.openxmlformats.org/officeDocument/2006/relationships/control" Target="../activeX/activeX25.xml"/><Relationship Id="rId47" Type="http://schemas.openxmlformats.org/officeDocument/2006/relationships/control" Target="../activeX/activeX30.xml"/><Relationship Id="rId50" Type="http://schemas.openxmlformats.org/officeDocument/2006/relationships/control" Target="../activeX/activeX33.xml"/><Relationship Id="rId55" Type="http://schemas.openxmlformats.org/officeDocument/2006/relationships/control" Target="../activeX/activeX38.xml"/><Relationship Id="rId63" Type="http://schemas.openxmlformats.org/officeDocument/2006/relationships/image" Target="../media/image69.emf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57.emf"/><Relationship Id="rId29" Type="http://schemas.openxmlformats.org/officeDocument/2006/relationships/control" Target="../activeX/activeX18.xml"/><Relationship Id="rId11" Type="http://schemas.openxmlformats.org/officeDocument/2006/relationships/control" Target="../activeX/activeX7.xml"/><Relationship Id="rId24" Type="http://schemas.openxmlformats.org/officeDocument/2006/relationships/image" Target="../media/image59.emf"/><Relationship Id="rId32" Type="http://schemas.openxmlformats.org/officeDocument/2006/relationships/image" Target="../media/image63.emf"/><Relationship Id="rId37" Type="http://schemas.openxmlformats.org/officeDocument/2006/relationships/control" Target="../activeX/activeX22.xml"/><Relationship Id="rId40" Type="http://schemas.openxmlformats.org/officeDocument/2006/relationships/image" Target="../media/image67.emf"/><Relationship Id="rId45" Type="http://schemas.openxmlformats.org/officeDocument/2006/relationships/control" Target="../activeX/activeX28.xml"/><Relationship Id="rId53" Type="http://schemas.openxmlformats.org/officeDocument/2006/relationships/control" Target="../activeX/activeX36.xml"/><Relationship Id="rId58" Type="http://schemas.openxmlformats.org/officeDocument/2006/relationships/control" Target="../activeX/activeX41.xml"/><Relationship Id="rId66" Type="http://schemas.openxmlformats.org/officeDocument/2006/relationships/ctrlProp" Target="../ctrlProps/ctrlProp4.xml"/><Relationship Id="rId5" Type="http://schemas.openxmlformats.org/officeDocument/2006/relationships/control" Target="../activeX/activeX2.xml"/><Relationship Id="rId61" Type="http://schemas.openxmlformats.org/officeDocument/2006/relationships/image" Target="../media/image68.emf"/><Relationship Id="rId19" Type="http://schemas.openxmlformats.org/officeDocument/2006/relationships/control" Target="../activeX/activeX11.xml"/><Relationship Id="rId14" Type="http://schemas.openxmlformats.org/officeDocument/2006/relationships/image" Target="../media/image56.emf"/><Relationship Id="rId22" Type="http://schemas.openxmlformats.org/officeDocument/2006/relationships/control" Target="../activeX/activeX14.xml"/><Relationship Id="rId27" Type="http://schemas.openxmlformats.org/officeDocument/2006/relationships/control" Target="../activeX/activeX17.xml"/><Relationship Id="rId30" Type="http://schemas.openxmlformats.org/officeDocument/2006/relationships/image" Target="../media/image62.emf"/><Relationship Id="rId35" Type="http://schemas.openxmlformats.org/officeDocument/2006/relationships/control" Target="../activeX/activeX21.xml"/><Relationship Id="rId43" Type="http://schemas.openxmlformats.org/officeDocument/2006/relationships/control" Target="../activeX/activeX26.xml"/><Relationship Id="rId48" Type="http://schemas.openxmlformats.org/officeDocument/2006/relationships/control" Target="../activeX/activeX31.xml"/><Relationship Id="rId56" Type="http://schemas.openxmlformats.org/officeDocument/2006/relationships/control" Target="../activeX/activeX39.xml"/><Relationship Id="rId64" Type="http://schemas.openxmlformats.org/officeDocument/2006/relationships/ctrlProp" Target="../ctrlProps/ctrlProp2.xml"/><Relationship Id="rId8" Type="http://schemas.openxmlformats.org/officeDocument/2006/relationships/image" Target="../media/image54.emf"/><Relationship Id="rId51" Type="http://schemas.openxmlformats.org/officeDocument/2006/relationships/control" Target="../activeX/activeX34.xml"/><Relationship Id="rId3" Type="http://schemas.openxmlformats.org/officeDocument/2006/relationships/control" Target="../activeX/activeX1.xml"/><Relationship Id="rId12" Type="http://schemas.openxmlformats.org/officeDocument/2006/relationships/image" Target="../media/image55.emf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6.xml"/><Relationship Id="rId33" Type="http://schemas.openxmlformats.org/officeDocument/2006/relationships/control" Target="../activeX/activeX20.xml"/><Relationship Id="rId38" Type="http://schemas.openxmlformats.org/officeDocument/2006/relationships/image" Target="../media/image66.emf"/><Relationship Id="rId46" Type="http://schemas.openxmlformats.org/officeDocument/2006/relationships/control" Target="../activeX/activeX29.xml"/><Relationship Id="rId59" Type="http://schemas.openxmlformats.org/officeDocument/2006/relationships/control" Target="../activeX/activeX42.xml"/><Relationship Id="rId67" Type="http://schemas.openxmlformats.org/officeDocument/2006/relationships/ctrlProp" Target="../ctrlProps/ctrlProp5.xml"/><Relationship Id="rId20" Type="http://schemas.openxmlformats.org/officeDocument/2006/relationships/control" Target="../activeX/activeX12.xml"/><Relationship Id="rId41" Type="http://schemas.openxmlformats.org/officeDocument/2006/relationships/control" Target="../activeX/activeX24.xml"/><Relationship Id="rId54" Type="http://schemas.openxmlformats.org/officeDocument/2006/relationships/control" Target="../activeX/activeX37.xml"/><Relationship Id="rId62" Type="http://schemas.openxmlformats.org/officeDocument/2006/relationships/control" Target="../activeX/activeX44.xml"/><Relationship Id="rId1" Type="http://schemas.openxmlformats.org/officeDocument/2006/relationships/drawing" Target="../drawings/drawing2.xml"/><Relationship Id="rId6" Type="http://schemas.openxmlformats.org/officeDocument/2006/relationships/control" Target="../activeX/activeX3.xm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5.xml"/><Relationship Id="rId28" Type="http://schemas.openxmlformats.org/officeDocument/2006/relationships/image" Target="../media/image61.emf"/><Relationship Id="rId36" Type="http://schemas.openxmlformats.org/officeDocument/2006/relationships/image" Target="../media/image65.emf"/><Relationship Id="rId49" Type="http://schemas.openxmlformats.org/officeDocument/2006/relationships/control" Target="../activeX/activeX32.xml"/><Relationship Id="rId57" Type="http://schemas.openxmlformats.org/officeDocument/2006/relationships/control" Target="../activeX/activeX40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19.xml"/><Relationship Id="rId44" Type="http://schemas.openxmlformats.org/officeDocument/2006/relationships/control" Target="../activeX/activeX27.xml"/><Relationship Id="rId52" Type="http://schemas.openxmlformats.org/officeDocument/2006/relationships/control" Target="../activeX/activeX35.xml"/><Relationship Id="rId60" Type="http://schemas.openxmlformats.org/officeDocument/2006/relationships/control" Target="../activeX/activeX43.xml"/><Relationship Id="rId65" Type="http://schemas.openxmlformats.org/officeDocument/2006/relationships/ctrlProp" Target="../ctrlProps/ctrlProp3.xml"/><Relationship Id="rId4" Type="http://schemas.openxmlformats.org/officeDocument/2006/relationships/image" Target="../media/image53.emf"/><Relationship Id="rId9" Type="http://schemas.openxmlformats.org/officeDocument/2006/relationships/control" Target="../activeX/activeX5.xml"/><Relationship Id="rId13" Type="http://schemas.openxmlformats.org/officeDocument/2006/relationships/control" Target="../activeX/activeX8.xml"/><Relationship Id="rId18" Type="http://schemas.openxmlformats.org/officeDocument/2006/relationships/image" Target="../media/image58.emf"/><Relationship Id="rId39" Type="http://schemas.openxmlformats.org/officeDocument/2006/relationships/control" Target="../activeX/activeX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698"/>
  <sheetViews>
    <sheetView tabSelected="1" zoomScaleNormal="100" workbookViewId="0"/>
  </sheetViews>
  <sheetFormatPr defaultRowHeight="14.5" x14ac:dyDescent="0.35"/>
  <cols>
    <col min="1" max="2" width="7.1796875" bestFit="1" customWidth="1"/>
    <col min="3" max="3" width="8.90625" customWidth="1"/>
    <col min="4" max="4" width="7.1796875" bestFit="1" customWidth="1"/>
    <col min="8" max="8" width="5" customWidth="1"/>
    <col min="9" max="9" width="5.08984375" customWidth="1"/>
    <col min="10" max="10" width="11.453125" bestFit="1" customWidth="1"/>
    <col min="11" max="11" width="7.36328125" bestFit="1" customWidth="1"/>
    <col min="13" max="13" width="7.1796875" bestFit="1" customWidth="1"/>
    <col min="14" max="15" width="5.54296875" bestFit="1" customWidth="1"/>
    <col min="16" max="16" width="6.81640625" bestFit="1" customWidth="1"/>
  </cols>
  <sheetData>
    <row r="1" spans="1:31" ht="20" customHeight="1" x14ac:dyDescent="0.35">
      <c r="A1" t="s">
        <v>64</v>
      </c>
      <c r="C1" t="s">
        <v>382</v>
      </c>
      <c r="D1" t="s">
        <v>64</v>
      </c>
      <c r="E1" s="2"/>
      <c r="G1" t="s">
        <v>131</v>
      </c>
      <c r="M1" t="s">
        <v>278</v>
      </c>
      <c r="N1" t="s">
        <v>279</v>
      </c>
      <c r="O1" t="s">
        <v>280</v>
      </c>
      <c r="P1">
        <f>AVERAGE(P2:P28)</f>
        <v>82.4375</v>
      </c>
      <c r="R1" t="s">
        <v>375</v>
      </c>
      <c r="Z1">
        <v>1</v>
      </c>
      <c r="AA1" t="s">
        <v>23</v>
      </c>
      <c r="AB1" s="12" t="s">
        <v>270</v>
      </c>
      <c r="AC1" s="2"/>
      <c r="AD1" s="2">
        <v>1</v>
      </c>
      <c r="AE1" s="2"/>
    </row>
    <row r="2" spans="1:31" ht="20" customHeight="1" x14ac:dyDescent="0.35">
      <c r="A2" t="s">
        <v>62</v>
      </c>
      <c r="C2" s="17" t="str">
        <f ca="1">C3&amp;_xlfn.TEXTJOIN(",",1,cal!A7:AK7)</f>
        <v>{"success":true,"code":200,"msg":"鎴愬姛","data":[{"isme":true,"zt":5,"fit":0,"name":"TFTChampion","disname":"AlphaChess","type":3,"block":3,"hp":100},{"fit":1,"name":"TFTChampion","disname":"蹇冨惉涓舵柀涓剁爫涓跺妶","type":3,"block":7,"hp":60},{"fit":1,"name":"TFTChampion","disname":"AA璇峰彨鍝ュǘ浣?,"type":3,"block":8,"hp":73},{"fit":2,"name":"TFTChampion","disname":"甯稿痉灏忕埛璁╀綘閮侀椃","type":3,"block":5,"hp":53},{"fit":2,"name":"TFTChampion","disname":"璇峰彨鎴戝ぇ鍐涘啗","type":3,"block":2,"hp":40},{"fit":2,"name":"TFTChampion","disname":"浣犳槸妫掓閿?,"type":3,"block":1,"hp":44},{"fit":2,"name":"TFTChampion","disname":"DD杈呭姪鎯砪","type":3,"block":0,"hp":72},{"fit":1,"name":"TFTChampion","disname":"闈栨紶Jungle","type":3,"block":6,"hp":52},{"name":"TFT5_Kayle",disname:U2000432_TFT5_Kalista_1","type":5,"block":3,"hp":800},{"name":"TFT5_Ashe",disname:U2000432_TFT5_Kalista_1","type":5,"block":3,"hp":1080},{"name":"TFT5_Zyra",disname:U2000432_TFT5_Kalista_1","type":5,"block":3,"hp":1080},{"name":"TFT5_Draven",disname:U2000432_TFT5_Kalista_1","type":5,"block":3,"hp":700},{"name":"TFT5_Riven",disname:U2000432_TFT5_Kalista_1","type":5,"block":3,"hp":1440},{"name":"TFT5_Aatrox",disname:U2000432_TFT5_Kalista_1","type":5,"block":3,"hp":1170},{"name":"TFT5_Sett",disname:U2000432_TFT5_Kalista_1","type":5,"block":3,"hp":1440},{"name":"TFT5_Galio",disname:U2000432_TFT5_Kalista_1","type":5,"block":3,"hp":1800},{"name":"TFT5_Yasuo",disname:U2000432_TFT5_Kalista_1","type":5,"block":3,"hp":1440},{"name":"TFT5_Udyr",disname:U2000432_TFT5_Kalista_1","type":5,"block":3,"hp":1260},{"name":"TFT5_Irelia",disname:U2000432_TFT5_Kalista_1","type":5,"block":3,"hp":750},{"name":"TFT5_Draven",disname:U2000432_TFT5_Kalista_1","type":5,"block":3,"hp":700},{"name":"TFT5_Heimerdinger",disname:U2000432_TFT5_Kalista_1","type":5,"block":3,"hp":800},{"name":"TFT5_Jax",disname:U2000432_TFT5_Kalista_1","type":5,"block":3,"hp":950},{"name":"TFT5_Irelia",disname:U2000432_TFT5_Kalista_1","type":5,"block":3,"hp":750},{"name":"TFT5_Kalista",disname:U2000432_TFT5_Kalista_1","type":5,"block":3,"hp":900},{"name":"TFT5_Galio",disname:U2000432_TFT5_Kalista_1","type":5,"block":3,"hp":1000},{"name":"TFT5_Fiddlesticks",disname:U2000432_TFT5_Kalista_1","type":5,"block":3,"hp":800}</v>
      </c>
      <c r="D2" t="s">
        <v>62</v>
      </c>
      <c r="E2" s="11" t="s">
        <v>383</v>
      </c>
      <c r="G2" t="s">
        <v>281</v>
      </c>
      <c r="J2" t="s">
        <v>102</v>
      </c>
      <c r="K2" s="13">
        <f t="shared" ref="K2:K28" si="0">P2</f>
        <v>93.5</v>
      </c>
      <c r="L2" t="s">
        <v>23</v>
      </c>
      <c r="M2">
        <v>0</v>
      </c>
      <c r="N2">
        <v>1</v>
      </c>
      <c r="O2">
        <v>0</v>
      </c>
      <c r="P2">
        <f>IFERROR(VLOOKUP(L2,crl!$A:$DO,119,0),"")</f>
        <v>93.5</v>
      </c>
      <c r="Q2">
        <f>VLOOKUP(L2,AA:AD,4,0)</f>
        <v>1</v>
      </c>
      <c r="R2" t="s">
        <v>377</v>
      </c>
      <c r="Z2">
        <v>2</v>
      </c>
      <c r="AA2" t="s">
        <v>75</v>
      </c>
      <c r="AB2" t="s">
        <v>247</v>
      </c>
      <c r="AC2" s="2"/>
      <c r="AD2" s="2">
        <v>2</v>
      </c>
      <c r="AE2" s="2"/>
    </row>
    <row r="3" spans="1:31" ht="20" customHeight="1" x14ac:dyDescent="0.35">
      <c r="A3" t="s">
        <v>58</v>
      </c>
      <c r="C3" t="s">
        <v>386</v>
      </c>
      <c r="D3" t="s">
        <v>58</v>
      </c>
      <c r="G3" t="s">
        <v>282</v>
      </c>
      <c r="J3" t="s">
        <v>103</v>
      </c>
      <c r="K3" s="13">
        <f t="shared" si="0"/>
        <v>75</v>
      </c>
      <c r="L3" t="s">
        <v>25</v>
      </c>
      <c r="M3">
        <v>0</v>
      </c>
      <c r="N3">
        <v>1</v>
      </c>
      <c r="O3">
        <v>0</v>
      </c>
      <c r="P3">
        <f>IFERROR(VLOOKUP(L3,crl!$A:$DO,119,0),"")</f>
        <v>75</v>
      </c>
      <c r="Q3">
        <f t="shared" ref="Q3:Q13" si="1">VLOOKUP(L3,AA:AD,4,0)</f>
        <v>4</v>
      </c>
      <c r="R3" s="11"/>
      <c r="Z3">
        <v>3</v>
      </c>
      <c r="AA3" t="s">
        <v>24</v>
      </c>
      <c r="AB3" t="s">
        <v>268</v>
      </c>
      <c r="AC3" s="2"/>
      <c r="AD3" s="2">
        <v>3</v>
      </c>
      <c r="AE3" s="2"/>
    </row>
    <row r="4" spans="1:31" ht="20" customHeight="1" x14ac:dyDescent="0.35">
      <c r="A4" t="s">
        <v>50</v>
      </c>
      <c r="C4" s="14">
        <v>10</v>
      </c>
      <c r="D4" t="s">
        <v>55</v>
      </c>
      <c r="E4">
        <v>1270</v>
      </c>
      <c r="G4" t="s">
        <v>283</v>
      </c>
      <c r="J4" t="s">
        <v>104</v>
      </c>
      <c r="K4" s="13">
        <f t="shared" si="0"/>
        <v>85</v>
      </c>
      <c r="L4" t="s">
        <v>28</v>
      </c>
      <c r="M4">
        <v>2</v>
      </c>
      <c r="N4">
        <v>0</v>
      </c>
      <c r="O4">
        <v>0</v>
      </c>
      <c r="P4">
        <f>IFERROR(VLOOKUP(L4,crl!$A:$DO,119,0),"")</f>
        <v>85</v>
      </c>
      <c r="Q4">
        <f t="shared" si="1"/>
        <v>7</v>
      </c>
      <c r="Z4">
        <v>4</v>
      </c>
      <c r="AA4" t="s">
        <v>25</v>
      </c>
      <c r="AB4" t="s">
        <v>269</v>
      </c>
      <c r="AC4" s="2"/>
      <c r="AD4" s="2">
        <v>4</v>
      </c>
      <c r="AE4" s="2"/>
    </row>
    <row r="5" spans="1:31" ht="20" customHeight="1" x14ac:dyDescent="0.35">
      <c r="A5" t="s">
        <v>49</v>
      </c>
      <c r="D5" t="s">
        <v>50</v>
      </c>
      <c r="G5" t="s">
        <v>284</v>
      </c>
      <c r="J5" t="s">
        <v>105</v>
      </c>
      <c r="K5" s="13">
        <f t="shared" si="0"/>
        <v>41</v>
      </c>
      <c r="L5" t="s">
        <v>68</v>
      </c>
      <c r="M5">
        <v>1</v>
      </c>
      <c r="N5">
        <v>0</v>
      </c>
      <c r="O5">
        <v>0</v>
      </c>
      <c r="P5">
        <f>IFERROR(VLOOKUP(L5,crl!$A:$DO,119,0),"")</f>
        <v>41</v>
      </c>
      <c r="Q5">
        <f t="shared" si="1"/>
        <v>8</v>
      </c>
      <c r="Z5">
        <v>5</v>
      </c>
      <c r="AA5" t="s">
        <v>26</v>
      </c>
      <c r="AB5" t="s">
        <v>271</v>
      </c>
      <c r="AC5" s="2"/>
      <c r="AD5" s="2">
        <v>5</v>
      </c>
      <c r="AE5" s="2"/>
    </row>
    <row r="6" spans="1:31" ht="20" customHeight="1" x14ac:dyDescent="0.35">
      <c r="A6" t="s">
        <v>36</v>
      </c>
      <c r="D6" t="s">
        <v>49</v>
      </c>
      <c r="E6" t="s">
        <v>383</v>
      </c>
      <c r="G6" t="s">
        <v>284</v>
      </c>
      <c r="J6" t="s">
        <v>106</v>
      </c>
      <c r="K6" s="13">
        <f t="shared" si="0"/>
        <v>94</v>
      </c>
      <c r="L6" t="s">
        <v>74</v>
      </c>
      <c r="M6">
        <v>2</v>
      </c>
      <c r="N6">
        <v>1</v>
      </c>
      <c r="O6">
        <v>0</v>
      </c>
      <c r="P6">
        <f>IFERROR(VLOOKUP(L6,crl!$A:$DO,119,0),"")</f>
        <v>94</v>
      </c>
      <c r="Q6">
        <f t="shared" si="1"/>
        <v>9</v>
      </c>
      <c r="Z6">
        <v>6</v>
      </c>
      <c r="AA6" t="s">
        <v>27</v>
      </c>
      <c r="AB6" s="12" t="s">
        <v>272</v>
      </c>
      <c r="AC6" s="2"/>
      <c r="AD6" s="2">
        <v>6</v>
      </c>
      <c r="AE6" s="2"/>
    </row>
    <row r="7" spans="1:31" ht="20" customHeight="1" x14ac:dyDescent="0.35">
      <c r="A7" t="s">
        <v>32</v>
      </c>
      <c r="C7" s="15">
        <f>D15-A15</f>
        <v>3840</v>
      </c>
      <c r="D7" t="s">
        <v>36</v>
      </c>
      <c r="E7">
        <v>23</v>
      </c>
      <c r="G7" t="s">
        <v>285</v>
      </c>
      <c r="J7" t="s">
        <v>107</v>
      </c>
      <c r="K7" s="13">
        <f t="shared" si="0"/>
        <v>72</v>
      </c>
      <c r="L7" t="s">
        <v>32</v>
      </c>
      <c r="M7">
        <v>1</v>
      </c>
      <c r="N7">
        <v>0</v>
      </c>
      <c r="O7">
        <v>0</v>
      </c>
      <c r="P7">
        <f>IFERROR(VLOOKUP(L7,crl!$A:$DO,119,0),"")</f>
        <v>72</v>
      </c>
      <c r="Q7">
        <f t="shared" si="1"/>
        <v>14</v>
      </c>
      <c r="Z7">
        <v>7</v>
      </c>
      <c r="AA7" t="s">
        <v>28</v>
      </c>
      <c r="AC7" s="2"/>
      <c r="AD7" s="2">
        <v>7</v>
      </c>
      <c r="AE7" s="2"/>
    </row>
    <row r="8" spans="1:31" ht="20" customHeight="1" x14ac:dyDescent="0.35">
      <c r="A8" t="s">
        <v>74</v>
      </c>
      <c r="C8" s="16">
        <f>D15/A15*100-100</f>
        <v>7.6344983895979937</v>
      </c>
      <c r="D8" t="s">
        <v>32</v>
      </c>
      <c r="E8">
        <v>1270</v>
      </c>
      <c r="G8" t="s">
        <v>286</v>
      </c>
      <c r="J8" t="s">
        <v>108</v>
      </c>
      <c r="K8" s="13">
        <f t="shared" si="0"/>
        <v>119.5</v>
      </c>
      <c r="L8" t="s">
        <v>77</v>
      </c>
      <c r="M8">
        <v>2</v>
      </c>
      <c r="N8">
        <v>0</v>
      </c>
      <c r="O8">
        <v>0</v>
      </c>
      <c r="P8">
        <f>IFERROR(VLOOKUP(L8,crl!$A:$DO,119,0),"")</f>
        <v>119.5</v>
      </c>
      <c r="Q8">
        <f t="shared" si="1"/>
        <v>15</v>
      </c>
      <c r="Z8">
        <v>8</v>
      </c>
      <c r="AA8" t="s">
        <v>68</v>
      </c>
      <c r="AC8" s="2"/>
      <c r="AD8" s="2">
        <v>8</v>
      </c>
      <c r="AE8" s="2"/>
    </row>
    <row r="9" spans="1:31" ht="20" customHeight="1" x14ac:dyDescent="0.35">
      <c r="A9" t="s">
        <v>25</v>
      </c>
      <c r="D9" t="s">
        <v>74</v>
      </c>
      <c r="G9" t="s">
        <v>287</v>
      </c>
      <c r="J9" t="s">
        <v>109</v>
      </c>
      <c r="K9" s="13">
        <f t="shared" si="0"/>
        <v>60</v>
      </c>
      <c r="L9" t="s">
        <v>34</v>
      </c>
      <c r="M9">
        <v>1</v>
      </c>
      <c r="N9">
        <v>0</v>
      </c>
      <c r="O9">
        <v>0</v>
      </c>
      <c r="P9">
        <f>IFERROR(VLOOKUP(L9,crl!$A:$DO,119,0),"")</f>
        <v>60</v>
      </c>
      <c r="Q9">
        <f t="shared" si="1"/>
        <v>17</v>
      </c>
      <c r="S9" t="s">
        <v>362</v>
      </c>
      <c r="Z9">
        <v>9</v>
      </c>
      <c r="AA9" t="s">
        <v>74</v>
      </c>
      <c r="AC9" s="2"/>
      <c r="AD9" s="2">
        <v>9</v>
      </c>
      <c r="AE9" s="2"/>
    </row>
    <row r="10" spans="1:31" ht="20" customHeight="1" x14ac:dyDescent="0.35">
      <c r="A10" t="s">
        <v>23</v>
      </c>
      <c r="D10" t="s">
        <v>25</v>
      </c>
      <c r="E10" t="s">
        <v>383</v>
      </c>
      <c r="G10" t="s">
        <v>288</v>
      </c>
      <c r="J10" t="s">
        <v>110</v>
      </c>
      <c r="K10" s="13">
        <f t="shared" si="0"/>
        <v>92</v>
      </c>
      <c r="L10" t="s">
        <v>35</v>
      </c>
      <c r="M10">
        <v>0</v>
      </c>
      <c r="N10">
        <v>1</v>
      </c>
      <c r="O10">
        <v>0</v>
      </c>
      <c r="P10">
        <f>IFERROR(VLOOKUP(L10,crl!$A:$DO,119,0),"")</f>
        <v>92</v>
      </c>
      <c r="Q10">
        <f t="shared" si="1"/>
        <v>18</v>
      </c>
      <c r="Z10">
        <v>10</v>
      </c>
      <c r="AA10" t="s">
        <v>29</v>
      </c>
      <c r="AC10" s="2"/>
      <c r="AD10" s="2">
        <v>10</v>
      </c>
      <c r="AE10" s="2"/>
    </row>
    <row r="11" spans="1:31" ht="20" customHeight="1" x14ac:dyDescent="0.35">
      <c r="A11" t="s">
        <v>23</v>
      </c>
      <c r="D11" t="s">
        <v>23</v>
      </c>
      <c r="E11">
        <v>23</v>
      </c>
      <c r="G11" t="s">
        <v>289</v>
      </c>
      <c r="J11" t="s">
        <v>111</v>
      </c>
      <c r="K11" s="13">
        <f t="shared" si="0"/>
        <v>93.5</v>
      </c>
      <c r="L11" t="s">
        <v>36</v>
      </c>
      <c r="M11">
        <v>2</v>
      </c>
      <c r="N11">
        <v>0</v>
      </c>
      <c r="O11">
        <v>0</v>
      </c>
      <c r="P11">
        <f>IFERROR(VLOOKUP(L11,crl!$A:$DO,119,0),"")</f>
        <v>93.5</v>
      </c>
      <c r="Q11">
        <f t="shared" si="1"/>
        <v>20</v>
      </c>
      <c r="Z11">
        <v>11</v>
      </c>
      <c r="AA11" t="s">
        <v>30</v>
      </c>
      <c r="AC11" s="2"/>
      <c r="AD11" s="2">
        <v>11</v>
      </c>
      <c r="AE11" s="2"/>
    </row>
    <row r="12" spans="1:31" ht="20" customHeight="1" x14ac:dyDescent="0.35">
      <c r="D12" t="s">
        <v>23</v>
      </c>
      <c r="E12">
        <v>1270</v>
      </c>
      <c r="J12" t="s">
        <v>112</v>
      </c>
      <c r="K12" s="13">
        <f t="shared" si="0"/>
        <v>86.5</v>
      </c>
      <c r="L12" t="s">
        <v>49</v>
      </c>
      <c r="M12">
        <v>0</v>
      </c>
      <c r="N12">
        <v>1</v>
      </c>
      <c r="O12">
        <v>0</v>
      </c>
      <c r="P12">
        <f>IFERROR(VLOOKUP(L12,crl!$A:$DO,119,0),"")</f>
        <v>86.5</v>
      </c>
      <c r="Q12">
        <f t="shared" si="1"/>
        <v>39</v>
      </c>
      <c r="Z12">
        <v>12</v>
      </c>
      <c r="AA12" t="s">
        <v>73</v>
      </c>
      <c r="AC12" s="2"/>
      <c r="AD12" s="2">
        <v>12</v>
      </c>
      <c r="AE12" s="2"/>
    </row>
    <row r="13" spans="1:31" ht="20" customHeight="1" x14ac:dyDescent="0.35">
      <c r="G13" t="s">
        <v>292</v>
      </c>
      <c r="J13" t="s">
        <v>113</v>
      </c>
      <c r="K13" s="13">
        <f t="shared" si="0"/>
        <v>73.5</v>
      </c>
      <c r="L13" t="s">
        <v>50</v>
      </c>
      <c r="M13">
        <v>1</v>
      </c>
      <c r="N13">
        <v>1</v>
      </c>
      <c r="O13">
        <v>0</v>
      </c>
      <c r="P13">
        <f>IFERROR(VLOOKUP(L13,crl!$A:$DO,119,0),"")</f>
        <v>73.5</v>
      </c>
      <c r="Q13">
        <f t="shared" si="1"/>
        <v>42</v>
      </c>
      <c r="Z13">
        <v>13</v>
      </c>
      <c r="AA13" t="s">
        <v>31</v>
      </c>
      <c r="AC13" s="2"/>
      <c r="AD13" s="2">
        <v>13</v>
      </c>
      <c r="AE13" s="2"/>
    </row>
    <row r="14" spans="1:31" ht="20" customHeight="1" x14ac:dyDescent="0.35">
      <c r="C14" t="s">
        <v>313</v>
      </c>
      <c r="E14" t="s">
        <v>383</v>
      </c>
      <c r="G14" t="s">
        <v>293</v>
      </c>
      <c r="K14" s="13">
        <f t="shared" si="0"/>
        <v>95</v>
      </c>
      <c r="L14" t="s">
        <v>55</v>
      </c>
      <c r="M14">
        <v>1</v>
      </c>
      <c r="N14">
        <v>1</v>
      </c>
      <c r="O14">
        <v>0</v>
      </c>
      <c r="P14">
        <f>IFERROR(VLOOKUP(L14,crl!$A:$DO,119,0),"")</f>
        <v>95</v>
      </c>
      <c r="Z14">
        <v>14</v>
      </c>
      <c r="AA14" t="s">
        <v>32</v>
      </c>
      <c r="AC14" s="2"/>
      <c r="AD14" s="2">
        <v>14</v>
      </c>
      <c r="AE14" s="2"/>
    </row>
    <row r="15" spans="1:31" ht="20" customHeight="1" x14ac:dyDescent="0.35">
      <c r="A15">
        <v>50298</v>
      </c>
      <c r="D15">
        <v>54138</v>
      </c>
      <c r="E15">
        <v>23</v>
      </c>
      <c r="G15" t="s">
        <v>301</v>
      </c>
      <c r="J15" t="s">
        <v>116</v>
      </c>
      <c r="K15" s="13">
        <f t="shared" si="0"/>
        <v>71.5</v>
      </c>
      <c r="L15" t="s">
        <v>58</v>
      </c>
      <c r="M15">
        <v>1</v>
      </c>
      <c r="N15">
        <v>0</v>
      </c>
      <c r="O15">
        <v>0</v>
      </c>
      <c r="P15">
        <f>IFERROR(VLOOKUP(L15,crl!$A:$DO,119,0),"")</f>
        <v>71.5</v>
      </c>
      <c r="Z15">
        <v>15</v>
      </c>
      <c r="AA15" t="s">
        <v>77</v>
      </c>
      <c r="AC15" s="2"/>
      <c r="AD15" s="2">
        <v>15</v>
      </c>
      <c r="AE15" s="2"/>
    </row>
    <row r="16" spans="1:31" ht="20" customHeight="1" x14ac:dyDescent="0.35">
      <c r="A16" s="13" t="e">
        <f>A15/B15*100-100</f>
        <v>#DIV/0!</v>
      </c>
      <c r="E16">
        <v>1270</v>
      </c>
      <c r="G16" t="s">
        <v>294</v>
      </c>
      <c r="J16" t="s">
        <v>117</v>
      </c>
      <c r="K16" s="13">
        <f t="shared" si="0"/>
        <v>86.5</v>
      </c>
      <c r="L16" t="s">
        <v>62</v>
      </c>
      <c r="M16">
        <v>0</v>
      </c>
      <c r="N16">
        <v>1</v>
      </c>
      <c r="O16">
        <v>0</v>
      </c>
      <c r="P16">
        <f>IFERROR(VLOOKUP(L16,crl!$A:$DO,119,0),"")</f>
        <v>86.5</v>
      </c>
      <c r="Z16">
        <v>16</v>
      </c>
      <c r="AA16" t="s">
        <v>33</v>
      </c>
      <c r="AC16" s="2"/>
      <c r="AD16" s="2">
        <v>16</v>
      </c>
      <c r="AE16" s="2"/>
    </row>
    <row r="17" spans="5:31" ht="20" customHeight="1" x14ac:dyDescent="0.35">
      <c r="G17" t="s">
        <v>295</v>
      </c>
      <c r="J17" t="s">
        <v>118</v>
      </c>
      <c r="K17" s="13">
        <f t="shared" si="0"/>
        <v>80.5</v>
      </c>
      <c r="L17" t="s">
        <v>64</v>
      </c>
      <c r="M17">
        <v>0</v>
      </c>
      <c r="N17">
        <v>1</v>
      </c>
      <c r="O17">
        <v>0</v>
      </c>
      <c r="P17">
        <f>IFERROR(VLOOKUP(L17,crl!$A:$DO,119,0),"")</f>
        <v>80.5</v>
      </c>
      <c r="Z17">
        <v>17</v>
      </c>
      <c r="AA17" t="s">
        <v>34</v>
      </c>
      <c r="AC17" s="2"/>
      <c r="AD17" s="2">
        <v>17</v>
      </c>
      <c r="AE17" s="2"/>
    </row>
    <row r="18" spans="5:31" ht="20" customHeight="1" x14ac:dyDescent="0.35">
      <c r="E18" t="s">
        <v>383</v>
      </c>
      <c r="G18" t="s">
        <v>302</v>
      </c>
      <c r="J18" t="s">
        <v>119</v>
      </c>
      <c r="K18" s="13" t="str">
        <f t="shared" si="0"/>
        <v/>
      </c>
      <c r="P18" t="str">
        <f>IFERROR(VLOOKUP(L18,crl!$A:$DO,119,0),"")</f>
        <v/>
      </c>
      <c r="Z18">
        <v>18</v>
      </c>
      <c r="AA18" t="s">
        <v>35</v>
      </c>
      <c r="AC18" s="2"/>
      <c r="AD18" s="2">
        <v>18</v>
      </c>
      <c r="AE18" s="2"/>
    </row>
    <row r="19" spans="5:31" ht="20" customHeight="1" x14ac:dyDescent="0.35">
      <c r="E19">
        <v>23</v>
      </c>
      <c r="G19" t="s">
        <v>296</v>
      </c>
      <c r="J19" t="s">
        <v>120</v>
      </c>
      <c r="K19" s="13" t="str">
        <f t="shared" si="0"/>
        <v/>
      </c>
      <c r="P19" t="str">
        <f>IFERROR(VLOOKUP(L19,crl!$A:$DO,119,0),"")</f>
        <v/>
      </c>
      <c r="Z19">
        <v>19</v>
      </c>
      <c r="AA19" t="s">
        <v>21</v>
      </c>
      <c r="AC19" s="2"/>
      <c r="AD19" s="2">
        <v>19</v>
      </c>
      <c r="AE19" s="2"/>
    </row>
    <row r="20" spans="5:31" ht="20" customHeight="1" x14ac:dyDescent="0.35">
      <c r="E20">
        <v>3</v>
      </c>
      <c r="G20" t="s">
        <v>297</v>
      </c>
      <c r="J20" t="s">
        <v>121</v>
      </c>
      <c r="K20" s="13" t="str">
        <f t="shared" si="0"/>
        <v/>
      </c>
      <c r="P20" t="str">
        <f>IFERROR(VLOOKUP(L20,crl!$A:$DO,119,0),"")</f>
        <v/>
      </c>
      <c r="Z20">
        <v>20</v>
      </c>
      <c r="AA20" t="s">
        <v>36</v>
      </c>
      <c r="AC20" s="2"/>
      <c r="AD20" s="2">
        <v>20</v>
      </c>
      <c r="AE20" s="2"/>
    </row>
    <row r="21" spans="5:31" ht="20" customHeight="1" x14ac:dyDescent="0.35">
      <c r="G21" t="s">
        <v>303</v>
      </c>
      <c r="J21" t="s">
        <v>122</v>
      </c>
      <c r="K21" s="13">
        <f>P21</f>
        <v>0</v>
      </c>
      <c r="Z21">
        <v>21</v>
      </c>
      <c r="AA21" t="s">
        <v>37</v>
      </c>
      <c r="AC21" s="2"/>
      <c r="AD21" s="2">
        <v>21</v>
      </c>
      <c r="AE21" s="2"/>
    </row>
    <row r="22" spans="5:31" ht="20" customHeight="1" x14ac:dyDescent="0.35">
      <c r="E22" t="s">
        <v>383</v>
      </c>
      <c r="G22" t="s">
        <v>298</v>
      </c>
      <c r="J22" t="s">
        <v>123</v>
      </c>
      <c r="K22" s="13">
        <f t="shared" si="0"/>
        <v>0</v>
      </c>
      <c r="Z22">
        <v>22</v>
      </c>
      <c r="AA22" t="s">
        <v>38</v>
      </c>
      <c r="AC22" s="2"/>
      <c r="AD22" s="2">
        <v>22</v>
      </c>
      <c r="AE22" s="2"/>
    </row>
    <row r="23" spans="5:31" ht="20" customHeight="1" x14ac:dyDescent="0.35">
      <c r="E23">
        <v>23</v>
      </c>
      <c r="G23" t="s">
        <v>0</v>
      </c>
      <c r="J23" t="s">
        <v>124</v>
      </c>
      <c r="K23" s="13">
        <f t="shared" si="0"/>
        <v>0</v>
      </c>
      <c r="Z23">
        <v>23</v>
      </c>
      <c r="AA23" t="s">
        <v>39</v>
      </c>
      <c r="AC23" s="2"/>
      <c r="AD23" s="2">
        <v>23</v>
      </c>
      <c r="AE23" s="2"/>
    </row>
    <row r="24" spans="5:31" ht="20" customHeight="1" x14ac:dyDescent="0.35">
      <c r="E24">
        <v>1270</v>
      </c>
      <c r="G24" t="s">
        <v>309</v>
      </c>
      <c r="J24" t="s">
        <v>125</v>
      </c>
      <c r="K24" s="13">
        <f t="shared" si="0"/>
        <v>0</v>
      </c>
      <c r="Z24">
        <v>24</v>
      </c>
      <c r="AA24" t="s">
        <v>40</v>
      </c>
      <c r="AC24" s="2"/>
      <c r="AD24" s="2">
        <v>24</v>
      </c>
      <c r="AE24" s="2"/>
    </row>
    <row r="25" spans="5:31" ht="20" customHeight="1" x14ac:dyDescent="0.35">
      <c r="G25" t="s">
        <v>299</v>
      </c>
      <c r="J25" t="s">
        <v>126</v>
      </c>
      <c r="K25" s="13" t="str">
        <f t="shared" si="0"/>
        <v/>
      </c>
      <c r="P25" t="str">
        <f>IFERROR(VLOOKUP(L25,crl!$A:$DO,119,0),"")</f>
        <v/>
      </c>
      <c r="Z25">
        <v>25</v>
      </c>
      <c r="AA25" t="s">
        <v>41</v>
      </c>
      <c r="AC25" s="2"/>
      <c r="AD25" s="2">
        <v>25</v>
      </c>
      <c r="AE25" s="2"/>
    </row>
    <row r="26" spans="5:31" ht="20" customHeight="1" x14ac:dyDescent="0.35">
      <c r="E26" t="s">
        <v>383</v>
      </c>
      <c r="G26" t="s">
        <v>300</v>
      </c>
      <c r="J26" t="s">
        <v>127</v>
      </c>
      <c r="K26" s="13" t="str">
        <f t="shared" si="0"/>
        <v/>
      </c>
      <c r="P26" t="str">
        <f>IFERROR(VLOOKUP(L26,crl!$A:$DO,119,0),"")</f>
        <v/>
      </c>
      <c r="Z26">
        <v>26</v>
      </c>
      <c r="AA26" t="s">
        <v>76</v>
      </c>
      <c r="AC26" s="2"/>
      <c r="AD26" s="2">
        <v>26</v>
      </c>
      <c r="AE26" s="2"/>
    </row>
    <row r="27" spans="5:31" ht="20" customHeight="1" x14ac:dyDescent="0.35">
      <c r="E27">
        <v>23</v>
      </c>
      <c r="G27" t="s">
        <v>309</v>
      </c>
      <c r="J27" t="s">
        <v>128</v>
      </c>
      <c r="K27" s="13" t="str">
        <f t="shared" si="0"/>
        <v/>
      </c>
      <c r="P27" t="str">
        <f>IFERROR(VLOOKUP(L27,crl!$A:$DO,119,0),"")</f>
        <v/>
      </c>
      <c r="Z27">
        <v>27</v>
      </c>
      <c r="AA27" t="s">
        <v>42</v>
      </c>
      <c r="AC27" s="2"/>
      <c r="AD27" s="2">
        <v>27</v>
      </c>
      <c r="AE27" s="2"/>
    </row>
    <row r="28" spans="5:31" ht="20" customHeight="1" x14ac:dyDescent="0.35">
      <c r="E28">
        <v>1270</v>
      </c>
      <c r="G28" t="s">
        <v>304</v>
      </c>
      <c r="J28" t="s">
        <v>129</v>
      </c>
      <c r="K28" s="13" t="str">
        <f t="shared" si="0"/>
        <v/>
      </c>
      <c r="P28" t="str">
        <f>IFERROR(VLOOKUP(L28,crl!$A:$DO,119,0),"")</f>
        <v/>
      </c>
      <c r="Z28">
        <v>28</v>
      </c>
      <c r="AA28" t="s">
        <v>43</v>
      </c>
      <c r="AC28" s="2"/>
      <c r="AD28" s="2">
        <v>28</v>
      </c>
      <c r="AE28" s="2"/>
    </row>
    <row r="29" spans="5:31" ht="20" customHeight="1" x14ac:dyDescent="0.35">
      <c r="G29" t="s">
        <v>305</v>
      </c>
      <c r="Z29">
        <v>29</v>
      </c>
      <c r="AA29" t="s">
        <v>72</v>
      </c>
      <c r="AC29" s="2"/>
      <c r="AD29" s="2">
        <v>29</v>
      </c>
      <c r="AE29" s="2"/>
    </row>
    <row r="30" spans="5:31" ht="20" customHeight="1" x14ac:dyDescent="0.35">
      <c r="E30" t="s">
        <v>383</v>
      </c>
      <c r="G30" t="s">
        <v>310</v>
      </c>
      <c r="Z30">
        <v>30</v>
      </c>
      <c r="AA30" t="s">
        <v>44</v>
      </c>
      <c r="AC30" s="2"/>
      <c r="AD30" s="2">
        <v>30</v>
      </c>
      <c r="AE30" s="2"/>
    </row>
    <row r="31" spans="5:31" ht="20" customHeight="1" x14ac:dyDescent="0.35">
      <c r="E31">
        <v>23</v>
      </c>
      <c r="G31" t="s">
        <v>311</v>
      </c>
      <c r="Z31">
        <v>31</v>
      </c>
      <c r="AA31" t="s">
        <v>22</v>
      </c>
      <c r="AC31" s="2"/>
      <c r="AD31" s="2">
        <v>31</v>
      </c>
      <c r="AE31" s="2"/>
    </row>
    <row r="32" spans="5:31" ht="20" customHeight="1" x14ac:dyDescent="0.35">
      <c r="E32">
        <v>1270</v>
      </c>
      <c r="G32" t="s">
        <v>312</v>
      </c>
      <c r="Z32">
        <v>32</v>
      </c>
      <c r="AA32" t="s">
        <v>45</v>
      </c>
      <c r="AC32" s="2"/>
      <c r="AD32" s="2">
        <v>32</v>
      </c>
      <c r="AE32" s="2"/>
    </row>
    <row r="33" spans="1:31" ht="20" customHeight="1" x14ac:dyDescent="0.35">
      <c r="A33" s="2"/>
      <c r="B33" s="2"/>
      <c r="C33" s="2"/>
      <c r="D33" s="2"/>
      <c r="E33" s="2"/>
      <c r="G33" s="2" t="s">
        <v>312</v>
      </c>
      <c r="H33" s="2"/>
      <c r="I33" s="2"/>
      <c r="J33" s="2"/>
      <c r="K33" s="2"/>
      <c r="L33" s="2"/>
      <c r="M33" s="2"/>
      <c r="N33" s="2"/>
      <c r="O33" s="2"/>
      <c r="Z33">
        <v>33</v>
      </c>
      <c r="AA33" t="s">
        <v>46</v>
      </c>
      <c r="AC33" s="2"/>
      <c r="AD33" s="2">
        <v>33</v>
      </c>
      <c r="AE33" s="2"/>
    </row>
    <row r="34" spans="1:31" ht="20" customHeight="1" x14ac:dyDescent="0.35">
      <c r="A34" s="2"/>
      <c r="B34" s="2"/>
      <c r="C34" s="2"/>
      <c r="D34" s="2"/>
      <c r="E34" s="2" t="s">
        <v>383</v>
      </c>
      <c r="G34" s="2" t="s">
        <v>312</v>
      </c>
      <c r="H34" s="2"/>
      <c r="I34" s="2"/>
      <c r="J34" s="2"/>
      <c r="K34" s="2"/>
      <c r="L34" s="2"/>
      <c r="M34" s="2"/>
      <c r="N34" s="2"/>
      <c r="O34" s="2"/>
      <c r="Z34">
        <v>34</v>
      </c>
      <c r="AA34" t="s">
        <v>69</v>
      </c>
      <c r="AC34" s="2"/>
      <c r="AD34" s="2">
        <v>34</v>
      </c>
      <c r="AE34" s="2"/>
    </row>
    <row r="35" spans="1:31" ht="20" customHeight="1" x14ac:dyDescent="0.35">
      <c r="A35" s="2"/>
      <c r="B35" s="2"/>
      <c r="C35" s="2"/>
      <c r="D35" s="2"/>
      <c r="E35" s="2">
        <v>23</v>
      </c>
      <c r="G35" s="2" t="s">
        <v>312</v>
      </c>
      <c r="H35" s="2"/>
      <c r="I35" s="2"/>
      <c r="J35" s="2"/>
      <c r="K35" s="2"/>
      <c r="L35" s="2"/>
      <c r="M35" s="2"/>
      <c r="N35" s="2"/>
      <c r="O35" s="2"/>
      <c r="Z35">
        <v>35</v>
      </c>
      <c r="AA35" t="s">
        <v>47</v>
      </c>
      <c r="AC35" s="2"/>
      <c r="AD35" s="2">
        <v>35</v>
      </c>
      <c r="AE35" s="2"/>
    </row>
    <row r="36" spans="1:31" ht="20" customHeight="1" x14ac:dyDescent="0.35">
      <c r="A36" s="2"/>
      <c r="B36" s="2"/>
      <c r="C36" s="2"/>
      <c r="D36" s="2"/>
      <c r="E36" s="2">
        <v>1270</v>
      </c>
      <c r="G36" s="2" t="s">
        <v>312</v>
      </c>
      <c r="H36" s="2"/>
      <c r="I36" s="2"/>
      <c r="J36" s="2"/>
      <c r="K36" s="2"/>
      <c r="L36" s="2"/>
      <c r="M36" s="2"/>
      <c r="N36" s="2"/>
      <c r="O36" s="2"/>
      <c r="Z36">
        <v>36</v>
      </c>
      <c r="AA36" t="s">
        <v>67</v>
      </c>
      <c r="AC36" s="2"/>
      <c r="AD36" s="2">
        <v>36</v>
      </c>
      <c r="AE36" s="2"/>
    </row>
    <row r="37" spans="1:31" ht="20" customHeight="1" x14ac:dyDescent="0.35">
      <c r="A37" s="2"/>
      <c r="B37" s="2"/>
      <c r="C37" s="2"/>
      <c r="D37" s="2"/>
      <c r="E37" s="2"/>
      <c r="G37" s="2" t="s">
        <v>312</v>
      </c>
      <c r="H37" s="2"/>
      <c r="I37" s="2"/>
      <c r="J37" s="2"/>
      <c r="K37" s="2"/>
      <c r="L37" s="2"/>
      <c r="M37" s="2"/>
      <c r="N37" s="2"/>
      <c r="O37" s="2"/>
      <c r="Z37">
        <v>37</v>
      </c>
      <c r="AA37" t="s">
        <v>71</v>
      </c>
      <c r="AC37" s="2"/>
      <c r="AD37" s="2">
        <v>37</v>
      </c>
      <c r="AE37" s="2"/>
    </row>
    <row r="38" spans="1:31" ht="20" customHeight="1" x14ac:dyDescent="0.35">
      <c r="A38" s="2"/>
      <c r="B38" s="2"/>
      <c r="C38" s="2"/>
      <c r="D38" s="2"/>
      <c r="E38" s="2" t="s">
        <v>383</v>
      </c>
      <c r="G38" s="2" t="s">
        <v>312</v>
      </c>
      <c r="H38" s="2"/>
      <c r="I38" s="2"/>
      <c r="J38" s="2"/>
      <c r="K38" s="2"/>
      <c r="L38" s="2"/>
      <c r="M38" s="2"/>
      <c r="N38" s="2"/>
      <c r="O38" s="2"/>
      <c r="Z38">
        <v>38</v>
      </c>
      <c r="AA38" t="s">
        <v>48</v>
      </c>
      <c r="AC38" s="2"/>
      <c r="AD38" s="2">
        <v>38</v>
      </c>
      <c r="AE38" s="2"/>
    </row>
    <row r="39" spans="1:31" x14ac:dyDescent="0.35">
      <c r="A39" s="2"/>
      <c r="B39" s="2"/>
      <c r="C39" s="2"/>
      <c r="D39" s="2"/>
      <c r="E39" s="2">
        <v>23</v>
      </c>
      <c r="G39" s="2" t="s">
        <v>312</v>
      </c>
      <c r="H39" s="2"/>
      <c r="I39" s="2"/>
      <c r="J39" s="2"/>
      <c r="K39" s="2"/>
      <c r="L39" s="2"/>
      <c r="M39" s="2"/>
      <c r="N39" s="2"/>
      <c r="O39" s="2"/>
      <c r="Z39">
        <v>39</v>
      </c>
      <c r="AA39" t="s">
        <v>49</v>
      </c>
      <c r="AC39" s="2"/>
      <c r="AD39" s="2">
        <v>39</v>
      </c>
      <c r="AE39" s="2"/>
    </row>
    <row r="40" spans="1:31" x14ac:dyDescent="0.35">
      <c r="A40" s="2"/>
      <c r="C40" s="2"/>
      <c r="D40" s="2"/>
      <c r="E40" s="2">
        <v>1270</v>
      </c>
      <c r="G40" s="2" t="s">
        <v>312</v>
      </c>
      <c r="H40" s="2"/>
      <c r="I40" s="2"/>
      <c r="J40" s="2"/>
      <c r="K40" s="2"/>
      <c r="L40" s="2"/>
      <c r="M40" s="2"/>
      <c r="N40" s="2"/>
      <c r="O40" s="2"/>
      <c r="Z40">
        <v>40</v>
      </c>
      <c r="AA40" t="s">
        <v>20</v>
      </c>
      <c r="AC40" s="2"/>
      <c r="AD40" s="2">
        <v>40</v>
      </c>
      <c r="AE40" s="2"/>
    </row>
    <row r="41" spans="1:31" x14ac:dyDescent="0.35">
      <c r="A41" s="2"/>
      <c r="D41" s="2"/>
      <c r="E41" s="2"/>
      <c r="G41" s="2" t="s">
        <v>312</v>
      </c>
      <c r="H41" s="2"/>
      <c r="I41" s="2"/>
      <c r="J41" s="2"/>
      <c r="K41" s="2"/>
      <c r="L41" s="2"/>
      <c r="M41" s="2"/>
      <c r="N41" s="2"/>
      <c r="O41" s="2"/>
      <c r="Z41">
        <v>41</v>
      </c>
      <c r="AA41" t="s">
        <v>66</v>
      </c>
      <c r="AC41" s="2"/>
      <c r="AD41" s="2">
        <v>41</v>
      </c>
      <c r="AE41" s="2"/>
    </row>
    <row r="42" spans="1:31" x14ac:dyDescent="0.35">
      <c r="A42" s="2"/>
      <c r="E42" t="s">
        <v>383</v>
      </c>
      <c r="G42" s="2" t="s">
        <v>316</v>
      </c>
      <c r="H42" s="2"/>
      <c r="I42" s="2"/>
      <c r="J42" s="2"/>
      <c r="K42" s="2"/>
      <c r="L42" s="2"/>
      <c r="M42" s="2"/>
      <c r="N42" s="2"/>
      <c r="O42" s="2"/>
      <c r="Z42">
        <v>42</v>
      </c>
      <c r="AA42" t="s">
        <v>50</v>
      </c>
      <c r="AC42" s="2"/>
      <c r="AD42" s="2">
        <v>42</v>
      </c>
      <c r="AE42" s="2"/>
    </row>
    <row r="43" spans="1:31" x14ac:dyDescent="0.35">
      <c r="A43" s="2"/>
      <c r="E43">
        <v>23</v>
      </c>
      <c r="G43" t="s">
        <v>317</v>
      </c>
      <c r="O43" s="2"/>
      <c r="Z43">
        <v>43</v>
      </c>
      <c r="AA43" t="s">
        <v>51</v>
      </c>
      <c r="AC43" s="2"/>
      <c r="AD43" s="2">
        <v>43</v>
      </c>
      <c r="AE43" s="2"/>
    </row>
    <row r="44" spans="1:31" x14ac:dyDescent="0.35">
      <c r="A44" s="2"/>
      <c r="E44">
        <v>1270</v>
      </c>
      <c r="G44" t="s">
        <v>318</v>
      </c>
      <c r="Z44">
        <v>44</v>
      </c>
      <c r="AA44" t="s">
        <v>52</v>
      </c>
      <c r="AC44" s="2"/>
      <c r="AD44" s="2">
        <v>44</v>
      </c>
      <c r="AE44" s="2"/>
    </row>
    <row r="45" spans="1:31" x14ac:dyDescent="0.35">
      <c r="A45" s="2"/>
      <c r="G45" t="s">
        <v>320</v>
      </c>
      <c r="Z45">
        <v>45</v>
      </c>
      <c r="AA45" t="s">
        <v>53</v>
      </c>
      <c r="AC45" s="2"/>
      <c r="AD45" s="2">
        <v>45</v>
      </c>
      <c r="AE45" s="2"/>
    </row>
    <row r="46" spans="1:31" x14ac:dyDescent="0.35">
      <c r="A46" s="2"/>
      <c r="E46" t="s">
        <v>383</v>
      </c>
      <c r="G46" t="s">
        <v>319</v>
      </c>
      <c r="Z46">
        <v>46</v>
      </c>
      <c r="AA46" t="s">
        <v>54</v>
      </c>
      <c r="AC46" s="2"/>
      <c r="AD46" s="2">
        <v>46</v>
      </c>
      <c r="AE46" s="2"/>
    </row>
    <row r="47" spans="1:31" x14ac:dyDescent="0.35">
      <c r="E47">
        <v>23</v>
      </c>
      <c r="G47" t="s">
        <v>318</v>
      </c>
      <c r="Z47">
        <v>47</v>
      </c>
      <c r="AA47" t="s">
        <v>70</v>
      </c>
      <c r="AC47" s="2"/>
      <c r="AD47" s="2">
        <v>47</v>
      </c>
      <c r="AE47" s="2"/>
    </row>
    <row r="48" spans="1:31" x14ac:dyDescent="0.35">
      <c r="E48">
        <v>1270</v>
      </c>
      <c r="G48" t="s">
        <v>321</v>
      </c>
      <c r="Z48">
        <v>48</v>
      </c>
      <c r="AA48" t="s">
        <v>55</v>
      </c>
      <c r="AC48" s="2"/>
      <c r="AD48" s="2">
        <v>48</v>
      </c>
      <c r="AE48" s="2"/>
    </row>
    <row r="49" spans="5:31" x14ac:dyDescent="0.35">
      <c r="G49" t="s">
        <v>322</v>
      </c>
      <c r="Z49">
        <v>49</v>
      </c>
      <c r="AA49" t="s">
        <v>56</v>
      </c>
      <c r="AC49" s="2"/>
      <c r="AD49" s="2">
        <v>49</v>
      </c>
      <c r="AE49" s="2"/>
    </row>
    <row r="50" spans="5:31" x14ac:dyDescent="0.35">
      <c r="E50" t="s">
        <v>383</v>
      </c>
      <c r="G50" t="s">
        <v>323</v>
      </c>
      <c r="Z50">
        <v>50</v>
      </c>
      <c r="AA50" t="s">
        <v>57</v>
      </c>
      <c r="AC50" s="2"/>
      <c r="AD50" s="2">
        <v>50</v>
      </c>
      <c r="AE50" s="2"/>
    </row>
    <row r="51" spans="5:31" x14ac:dyDescent="0.35">
      <c r="E51">
        <v>23</v>
      </c>
      <c r="G51" t="s">
        <v>324</v>
      </c>
      <c r="Z51">
        <v>51</v>
      </c>
      <c r="AA51" t="s">
        <v>58</v>
      </c>
      <c r="AC51" s="2"/>
      <c r="AD51" s="2">
        <v>51</v>
      </c>
      <c r="AE51" s="2"/>
    </row>
    <row r="52" spans="5:31" x14ac:dyDescent="0.35">
      <c r="E52">
        <v>1270</v>
      </c>
      <c r="G52" t="s">
        <v>325</v>
      </c>
      <c r="Z52">
        <v>52</v>
      </c>
      <c r="AA52" t="s">
        <v>59</v>
      </c>
      <c r="AC52" s="2"/>
      <c r="AD52" s="2">
        <v>52</v>
      </c>
      <c r="AE52" s="2"/>
    </row>
    <row r="53" spans="5:31" x14ac:dyDescent="0.35">
      <c r="G53" t="s">
        <v>326</v>
      </c>
      <c r="Z53">
        <v>53</v>
      </c>
      <c r="AA53" t="s">
        <v>60</v>
      </c>
      <c r="AC53" s="2"/>
      <c r="AD53" s="2">
        <v>53</v>
      </c>
      <c r="AE53" s="2"/>
    </row>
    <row r="54" spans="5:31" x14ac:dyDescent="0.35">
      <c r="E54" t="s">
        <v>383</v>
      </c>
      <c r="G54" t="s">
        <v>327</v>
      </c>
      <c r="Z54">
        <v>54</v>
      </c>
      <c r="AA54" t="s">
        <v>61</v>
      </c>
      <c r="AC54" s="2"/>
      <c r="AD54" s="2">
        <v>54</v>
      </c>
      <c r="AE54" s="2"/>
    </row>
    <row r="55" spans="5:31" x14ac:dyDescent="0.35">
      <c r="E55">
        <v>23</v>
      </c>
      <c r="G55" t="s">
        <v>328</v>
      </c>
      <c r="Z55">
        <v>55</v>
      </c>
      <c r="AA55" t="s">
        <v>62</v>
      </c>
      <c r="AC55" s="2"/>
      <c r="AD55" s="2">
        <v>55</v>
      </c>
      <c r="AE55" s="2"/>
    </row>
    <row r="56" spans="5:31" x14ac:dyDescent="0.35">
      <c r="E56">
        <v>1270</v>
      </c>
      <c r="G56" t="s">
        <v>329</v>
      </c>
      <c r="Z56">
        <v>56</v>
      </c>
      <c r="AA56" t="s">
        <v>63</v>
      </c>
      <c r="AC56" s="2"/>
      <c r="AD56" s="2">
        <v>56</v>
      </c>
      <c r="AE56" s="2"/>
    </row>
    <row r="57" spans="5:31" x14ac:dyDescent="0.35">
      <c r="G57" t="s">
        <v>330</v>
      </c>
      <c r="Z57">
        <v>57</v>
      </c>
      <c r="AA57" t="s">
        <v>64</v>
      </c>
      <c r="AC57" s="2"/>
      <c r="AD57" s="2">
        <v>57</v>
      </c>
      <c r="AE57" s="2"/>
    </row>
    <row r="58" spans="5:31" x14ac:dyDescent="0.35">
      <c r="E58" t="s">
        <v>383</v>
      </c>
      <c r="G58" t="s">
        <v>331</v>
      </c>
      <c r="AC58" s="2"/>
      <c r="AD58" s="2"/>
    </row>
    <row r="59" spans="5:31" x14ac:dyDescent="0.35">
      <c r="E59">
        <v>23</v>
      </c>
      <c r="G59" t="s">
        <v>332</v>
      </c>
    </row>
    <row r="60" spans="5:31" x14ac:dyDescent="0.35">
      <c r="E60">
        <v>1270</v>
      </c>
      <c r="G60" t="s">
        <v>333</v>
      </c>
    </row>
    <row r="61" spans="5:31" x14ac:dyDescent="0.35">
      <c r="G61" t="s">
        <v>334</v>
      </c>
    </row>
    <row r="62" spans="5:31" x14ac:dyDescent="0.35">
      <c r="E62" t="s">
        <v>383</v>
      </c>
      <c r="G62" t="s">
        <v>335</v>
      </c>
    </row>
    <row r="63" spans="5:31" x14ac:dyDescent="0.35">
      <c r="E63">
        <v>23</v>
      </c>
      <c r="G63" t="s">
        <v>338</v>
      </c>
    </row>
    <row r="64" spans="5:31" x14ac:dyDescent="0.35">
      <c r="E64">
        <v>1270</v>
      </c>
      <c r="G64" t="s">
        <v>336</v>
      </c>
    </row>
    <row r="65" spans="5:7" x14ac:dyDescent="0.35">
      <c r="G65" t="s">
        <v>337</v>
      </c>
    </row>
    <row r="66" spans="5:7" x14ac:dyDescent="0.35">
      <c r="E66" t="s">
        <v>383</v>
      </c>
      <c r="G66" t="s">
        <v>339</v>
      </c>
    </row>
    <row r="67" spans="5:7" x14ac:dyDescent="0.35">
      <c r="E67">
        <v>23</v>
      </c>
      <c r="G67" t="s">
        <v>340</v>
      </c>
    </row>
    <row r="68" spans="5:7" x14ac:dyDescent="0.35">
      <c r="E68">
        <v>1270</v>
      </c>
      <c r="G68" t="s">
        <v>341</v>
      </c>
    </row>
    <row r="69" spans="5:7" x14ac:dyDescent="0.35">
      <c r="G69" t="s">
        <v>342</v>
      </c>
    </row>
    <row r="70" spans="5:7" x14ac:dyDescent="0.35">
      <c r="E70" t="s">
        <v>383</v>
      </c>
      <c r="G70" t="s">
        <v>343</v>
      </c>
    </row>
    <row r="71" spans="5:7" x14ac:dyDescent="0.35">
      <c r="E71">
        <v>23</v>
      </c>
      <c r="G71" t="s">
        <v>344</v>
      </c>
    </row>
    <row r="72" spans="5:7" x14ac:dyDescent="0.35">
      <c r="E72">
        <v>1270</v>
      </c>
      <c r="G72" t="s">
        <v>349</v>
      </c>
    </row>
    <row r="73" spans="5:7" x14ac:dyDescent="0.35">
      <c r="G73" t="s">
        <v>345</v>
      </c>
    </row>
    <row r="74" spans="5:7" x14ac:dyDescent="0.35">
      <c r="E74" t="s">
        <v>383</v>
      </c>
      <c r="G74" t="s">
        <v>346</v>
      </c>
    </row>
    <row r="75" spans="5:7" x14ac:dyDescent="0.35">
      <c r="E75">
        <v>23</v>
      </c>
      <c r="G75" t="s">
        <v>350</v>
      </c>
    </row>
    <row r="76" spans="5:7" x14ac:dyDescent="0.35">
      <c r="E76">
        <v>1270</v>
      </c>
      <c r="G76" t="s">
        <v>347</v>
      </c>
    </row>
    <row r="77" spans="5:7" x14ac:dyDescent="0.35">
      <c r="G77" t="s">
        <v>348</v>
      </c>
    </row>
    <row r="78" spans="5:7" x14ac:dyDescent="0.35">
      <c r="E78" t="s">
        <v>383</v>
      </c>
      <c r="G78" t="s">
        <v>353</v>
      </c>
    </row>
    <row r="79" spans="5:7" x14ac:dyDescent="0.35">
      <c r="E79">
        <v>23</v>
      </c>
      <c r="G79" t="s">
        <v>351</v>
      </c>
    </row>
    <row r="80" spans="5:7" x14ac:dyDescent="0.35">
      <c r="E80">
        <v>1270</v>
      </c>
      <c r="G80" t="s">
        <v>352</v>
      </c>
    </row>
    <row r="81" spans="5:7" x14ac:dyDescent="0.35">
      <c r="G81" t="s">
        <v>354</v>
      </c>
    </row>
    <row r="82" spans="5:7" x14ac:dyDescent="0.35">
      <c r="E82" t="s">
        <v>383</v>
      </c>
      <c r="G82" t="s">
        <v>276</v>
      </c>
    </row>
    <row r="83" spans="5:7" x14ac:dyDescent="0.35">
      <c r="E83">
        <v>23</v>
      </c>
      <c r="G83" t="s">
        <v>0</v>
      </c>
    </row>
    <row r="84" spans="5:7" x14ac:dyDescent="0.35">
      <c r="E84">
        <v>1270</v>
      </c>
    </row>
    <row r="85" spans="5:7" x14ac:dyDescent="0.35">
      <c r="G85" t="s">
        <v>277</v>
      </c>
    </row>
    <row r="86" spans="5:7" x14ac:dyDescent="0.35">
      <c r="E86" t="s">
        <v>383</v>
      </c>
      <c r="G86" t="s">
        <v>0</v>
      </c>
    </row>
    <row r="87" spans="5:7" x14ac:dyDescent="0.35">
      <c r="E87">
        <v>23</v>
      </c>
    </row>
    <row r="88" spans="5:7" x14ac:dyDescent="0.35">
      <c r="E88">
        <v>1270</v>
      </c>
      <c r="G88" t="s">
        <v>355</v>
      </c>
    </row>
    <row r="89" spans="5:7" x14ac:dyDescent="0.35">
      <c r="G89" t="s">
        <v>356</v>
      </c>
    </row>
    <row r="90" spans="5:7" x14ac:dyDescent="0.35">
      <c r="E90" t="s">
        <v>383</v>
      </c>
    </row>
    <row r="91" spans="5:7" x14ac:dyDescent="0.35">
      <c r="E91">
        <v>23</v>
      </c>
      <c r="G91" t="s">
        <v>167</v>
      </c>
    </row>
    <row r="92" spans="5:7" x14ac:dyDescent="0.35">
      <c r="E92">
        <v>1270</v>
      </c>
      <c r="G92" t="s">
        <v>0</v>
      </c>
    </row>
    <row r="94" spans="5:7" x14ac:dyDescent="0.35">
      <c r="E94" t="s">
        <v>383</v>
      </c>
      <c r="G94" t="s">
        <v>357</v>
      </c>
    </row>
    <row r="95" spans="5:7" x14ac:dyDescent="0.35">
      <c r="E95">
        <v>23</v>
      </c>
      <c r="G95" t="s">
        <v>358</v>
      </c>
    </row>
    <row r="96" spans="5:7" x14ac:dyDescent="0.35">
      <c r="E96">
        <v>1270</v>
      </c>
    </row>
    <row r="97" spans="5:12" x14ac:dyDescent="0.35">
      <c r="G97" t="s">
        <v>167</v>
      </c>
    </row>
    <row r="98" spans="5:12" x14ac:dyDescent="0.35">
      <c r="E98" t="s">
        <v>383</v>
      </c>
      <c r="G98" t="s">
        <v>359</v>
      </c>
    </row>
    <row r="99" spans="5:12" x14ac:dyDescent="0.35">
      <c r="E99">
        <v>23</v>
      </c>
    </row>
    <row r="100" spans="5:12" x14ac:dyDescent="0.35">
      <c r="E100">
        <v>1270</v>
      </c>
      <c r="G100" t="s">
        <v>167</v>
      </c>
    </row>
    <row r="101" spans="5:12" x14ac:dyDescent="0.35">
      <c r="G101" t="s">
        <v>360</v>
      </c>
    </row>
    <row r="102" spans="5:12" x14ac:dyDescent="0.35">
      <c r="E102" t="s">
        <v>383</v>
      </c>
    </row>
    <row r="103" spans="5:12" x14ac:dyDescent="0.35">
      <c r="E103">
        <v>23</v>
      </c>
      <c r="G103" t="s">
        <v>167</v>
      </c>
    </row>
    <row r="104" spans="5:12" x14ac:dyDescent="0.35">
      <c r="E104">
        <v>1270</v>
      </c>
      <c r="G104" t="s">
        <v>361</v>
      </c>
    </row>
    <row r="106" spans="5:12" x14ac:dyDescent="0.35">
      <c r="E106" t="s">
        <v>383</v>
      </c>
      <c r="G106" t="s">
        <v>167</v>
      </c>
    </row>
    <row r="107" spans="5:12" x14ac:dyDescent="0.35">
      <c r="E107">
        <v>23</v>
      </c>
      <c r="G107" t="s">
        <v>1</v>
      </c>
    </row>
    <row r="108" spans="5:12" x14ac:dyDescent="0.35">
      <c r="E108">
        <v>1270</v>
      </c>
    </row>
    <row r="109" spans="5:12" x14ac:dyDescent="0.35">
      <c r="G109" t="s">
        <v>363</v>
      </c>
      <c r="L109" t="s">
        <v>367</v>
      </c>
    </row>
    <row r="110" spans="5:12" x14ac:dyDescent="0.35">
      <c r="E110" t="s">
        <v>383</v>
      </c>
      <c r="G110" t="s">
        <v>364</v>
      </c>
    </row>
    <row r="111" spans="5:12" x14ac:dyDescent="0.35">
      <c r="E111">
        <v>23</v>
      </c>
    </row>
    <row r="112" spans="5:12" x14ac:dyDescent="0.35">
      <c r="E112">
        <v>1270</v>
      </c>
      <c r="G112" t="s">
        <v>365</v>
      </c>
      <c r="L112" t="s">
        <v>368</v>
      </c>
    </row>
    <row r="113" spans="5:7" x14ac:dyDescent="0.35">
      <c r="G113" t="s">
        <v>366</v>
      </c>
    </row>
    <row r="114" spans="5:7" x14ac:dyDescent="0.35">
      <c r="E114" t="s">
        <v>383</v>
      </c>
    </row>
    <row r="115" spans="5:7" x14ac:dyDescent="0.35">
      <c r="E115">
        <v>23</v>
      </c>
      <c r="G115" t="s">
        <v>167</v>
      </c>
    </row>
    <row r="116" spans="5:7" x14ac:dyDescent="0.35">
      <c r="E116">
        <v>1270</v>
      </c>
      <c r="G116" t="s">
        <v>369</v>
      </c>
    </row>
    <row r="118" spans="5:7" x14ac:dyDescent="0.35">
      <c r="E118" t="s">
        <v>383</v>
      </c>
      <c r="G118" t="s">
        <v>370</v>
      </c>
    </row>
    <row r="119" spans="5:7" x14ac:dyDescent="0.35">
      <c r="E119">
        <v>23</v>
      </c>
      <c r="G119" t="s">
        <v>371</v>
      </c>
    </row>
    <row r="120" spans="5:7" x14ac:dyDescent="0.35">
      <c r="E120">
        <v>1270</v>
      </c>
    </row>
    <row r="121" spans="5:7" x14ac:dyDescent="0.35">
      <c r="G121" t="s">
        <v>167</v>
      </c>
    </row>
    <row r="122" spans="5:7" x14ac:dyDescent="0.35">
      <c r="E122" t="s">
        <v>383</v>
      </c>
      <c r="G122" t="s">
        <v>372</v>
      </c>
    </row>
    <row r="123" spans="5:7" x14ac:dyDescent="0.35">
      <c r="E123">
        <v>23</v>
      </c>
    </row>
    <row r="124" spans="5:7" x14ac:dyDescent="0.35">
      <c r="E124">
        <v>1270</v>
      </c>
      <c r="G124" t="s">
        <v>167</v>
      </c>
    </row>
    <row r="125" spans="5:7" x14ac:dyDescent="0.35">
      <c r="G125" t="s">
        <v>372</v>
      </c>
    </row>
    <row r="126" spans="5:7" x14ac:dyDescent="0.35">
      <c r="E126" t="s">
        <v>383</v>
      </c>
    </row>
    <row r="127" spans="5:7" x14ac:dyDescent="0.35">
      <c r="E127">
        <v>23</v>
      </c>
      <c r="G127" t="s">
        <v>373</v>
      </c>
    </row>
    <row r="128" spans="5:7" x14ac:dyDescent="0.35">
      <c r="E128">
        <v>1270</v>
      </c>
      <c r="G128" t="s">
        <v>374</v>
      </c>
    </row>
    <row r="130" spans="5:7" x14ac:dyDescent="0.35">
      <c r="E130" t="s">
        <v>383</v>
      </c>
      <c r="G130" t="s">
        <v>375</v>
      </c>
    </row>
    <row r="131" spans="5:7" x14ac:dyDescent="0.35">
      <c r="E131">
        <v>23</v>
      </c>
      <c r="G131" t="s">
        <v>376</v>
      </c>
    </row>
    <row r="132" spans="5:7" x14ac:dyDescent="0.35">
      <c r="E132">
        <v>1270</v>
      </c>
    </row>
    <row r="133" spans="5:7" x14ac:dyDescent="0.35">
      <c r="G133" t="s">
        <v>375</v>
      </c>
    </row>
    <row r="134" spans="5:7" x14ac:dyDescent="0.35">
      <c r="E134" t="s">
        <v>383</v>
      </c>
      <c r="G134" t="s">
        <v>377</v>
      </c>
    </row>
    <row r="135" spans="5:7" x14ac:dyDescent="0.35">
      <c r="E135">
        <v>23</v>
      </c>
    </row>
    <row r="136" spans="5:7" x14ac:dyDescent="0.35">
      <c r="E136">
        <v>1270</v>
      </c>
      <c r="G136" t="s">
        <v>378</v>
      </c>
    </row>
    <row r="137" spans="5:7" x14ac:dyDescent="0.35">
      <c r="G137" t="s">
        <v>379</v>
      </c>
    </row>
    <row r="138" spans="5:7" x14ac:dyDescent="0.35">
      <c r="E138" t="s">
        <v>383</v>
      </c>
    </row>
    <row r="139" spans="5:7" x14ac:dyDescent="0.35">
      <c r="E139">
        <v>23</v>
      </c>
      <c r="G139" t="s">
        <v>380</v>
      </c>
    </row>
    <row r="140" spans="5:7" x14ac:dyDescent="0.35">
      <c r="E140">
        <v>1270</v>
      </c>
      <c r="G140" t="s">
        <v>381</v>
      </c>
    </row>
    <row r="142" spans="5:7" x14ac:dyDescent="0.35">
      <c r="E142" t="s">
        <v>383</v>
      </c>
      <c r="G142" t="s">
        <v>382</v>
      </c>
    </row>
    <row r="143" spans="5:7" x14ac:dyDescent="0.35">
      <c r="E143">
        <v>23</v>
      </c>
      <c r="G143" t="s">
        <v>383</v>
      </c>
    </row>
    <row r="144" spans="5:7" x14ac:dyDescent="0.35">
      <c r="E144">
        <v>1270</v>
      </c>
    </row>
    <row r="146" spans="5:5" x14ac:dyDescent="0.35">
      <c r="E146" t="s">
        <v>383</v>
      </c>
    </row>
    <row r="147" spans="5:5" x14ac:dyDescent="0.35">
      <c r="E147">
        <v>23</v>
      </c>
    </row>
    <row r="148" spans="5:5" x14ac:dyDescent="0.35">
      <c r="E148">
        <v>1270</v>
      </c>
    </row>
    <row r="150" spans="5:5" x14ac:dyDescent="0.35">
      <c r="E150" t="s">
        <v>383</v>
      </c>
    </row>
    <row r="151" spans="5:5" x14ac:dyDescent="0.35">
      <c r="E151">
        <v>23</v>
      </c>
    </row>
    <row r="152" spans="5:5" x14ac:dyDescent="0.35">
      <c r="E152">
        <v>1270</v>
      </c>
    </row>
    <row r="154" spans="5:5" x14ac:dyDescent="0.35">
      <c r="E154" t="s">
        <v>383</v>
      </c>
    </row>
    <row r="155" spans="5:5" x14ac:dyDescent="0.35">
      <c r="E155">
        <v>23</v>
      </c>
    </row>
    <row r="156" spans="5:5" x14ac:dyDescent="0.35">
      <c r="E156">
        <v>1270</v>
      </c>
    </row>
    <row r="158" spans="5:5" x14ac:dyDescent="0.35">
      <c r="E158" t="s">
        <v>383</v>
      </c>
    </row>
    <row r="159" spans="5:5" x14ac:dyDescent="0.35">
      <c r="E159">
        <v>23</v>
      </c>
    </row>
    <row r="160" spans="5:5" x14ac:dyDescent="0.35">
      <c r="E160">
        <v>1270</v>
      </c>
    </row>
    <row r="162" spans="5:5" x14ac:dyDescent="0.35">
      <c r="E162" t="s">
        <v>383</v>
      </c>
    </row>
    <row r="163" spans="5:5" x14ac:dyDescent="0.35">
      <c r="E163">
        <v>23</v>
      </c>
    </row>
    <row r="164" spans="5:5" x14ac:dyDescent="0.35">
      <c r="E164">
        <v>1270</v>
      </c>
    </row>
    <row r="166" spans="5:5" x14ac:dyDescent="0.35">
      <c r="E166" t="s">
        <v>383</v>
      </c>
    </row>
    <row r="167" spans="5:5" x14ac:dyDescent="0.35">
      <c r="E167">
        <v>23</v>
      </c>
    </row>
    <row r="168" spans="5:5" x14ac:dyDescent="0.35">
      <c r="E168">
        <v>1270</v>
      </c>
    </row>
    <row r="170" spans="5:5" x14ac:dyDescent="0.35">
      <c r="E170" t="s">
        <v>383</v>
      </c>
    </row>
    <row r="171" spans="5:5" x14ac:dyDescent="0.35">
      <c r="E171">
        <v>23</v>
      </c>
    </row>
    <row r="172" spans="5:5" x14ac:dyDescent="0.35">
      <c r="E172">
        <v>1270</v>
      </c>
    </row>
    <row r="174" spans="5:5" x14ac:dyDescent="0.35">
      <c r="E174" t="s">
        <v>383</v>
      </c>
    </row>
    <row r="175" spans="5:5" x14ac:dyDescent="0.35">
      <c r="E175">
        <v>23</v>
      </c>
    </row>
    <row r="176" spans="5:5" x14ac:dyDescent="0.35">
      <c r="E176">
        <v>1270</v>
      </c>
    </row>
    <row r="178" spans="5:5" x14ac:dyDescent="0.35">
      <c r="E178" t="s">
        <v>383</v>
      </c>
    </row>
    <row r="179" spans="5:5" x14ac:dyDescent="0.35">
      <c r="E179">
        <v>23</v>
      </c>
    </row>
    <row r="180" spans="5:5" x14ac:dyDescent="0.35">
      <c r="E180">
        <v>1270</v>
      </c>
    </row>
    <row r="182" spans="5:5" x14ac:dyDescent="0.35">
      <c r="E182" t="s">
        <v>383</v>
      </c>
    </row>
    <row r="183" spans="5:5" x14ac:dyDescent="0.35">
      <c r="E183">
        <v>23</v>
      </c>
    </row>
    <row r="184" spans="5:5" x14ac:dyDescent="0.35">
      <c r="E184">
        <v>1270</v>
      </c>
    </row>
    <row r="186" spans="5:5" x14ac:dyDescent="0.35">
      <c r="E186" t="s">
        <v>383</v>
      </c>
    </row>
    <row r="187" spans="5:5" x14ac:dyDescent="0.35">
      <c r="E187">
        <v>23</v>
      </c>
    </row>
    <row r="188" spans="5:5" x14ac:dyDescent="0.35">
      <c r="E188">
        <v>1270</v>
      </c>
    </row>
    <row r="190" spans="5:5" x14ac:dyDescent="0.35">
      <c r="E190" t="s">
        <v>383</v>
      </c>
    </row>
    <row r="191" spans="5:5" x14ac:dyDescent="0.35">
      <c r="E191">
        <v>23</v>
      </c>
    </row>
    <row r="192" spans="5:5" x14ac:dyDescent="0.35">
      <c r="E192">
        <v>1270</v>
      </c>
    </row>
    <row r="194" spans="5:5" x14ac:dyDescent="0.35">
      <c r="E194" t="s">
        <v>383</v>
      </c>
    </row>
    <row r="195" spans="5:5" x14ac:dyDescent="0.35">
      <c r="E195">
        <v>23</v>
      </c>
    </row>
    <row r="196" spans="5:5" x14ac:dyDescent="0.35">
      <c r="E196">
        <v>1270</v>
      </c>
    </row>
    <row r="198" spans="5:5" x14ac:dyDescent="0.35">
      <c r="E198" t="s">
        <v>383</v>
      </c>
    </row>
    <row r="199" spans="5:5" x14ac:dyDescent="0.35">
      <c r="E199">
        <v>23</v>
      </c>
    </row>
    <row r="200" spans="5:5" x14ac:dyDescent="0.35">
      <c r="E200">
        <v>1270</v>
      </c>
    </row>
    <row r="202" spans="5:5" x14ac:dyDescent="0.35">
      <c r="E202" t="s">
        <v>383</v>
      </c>
    </row>
    <row r="203" spans="5:5" x14ac:dyDescent="0.35">
      <c r="E203">
        <v>23</v>
      </c>
    </row>
    <row r="204" spans="5:5" x14ac:dyDescent="0.35">
      <c r="E204">
        <v>1270</v>
      </c>
    </row>
    <row r="206" spans="5:5" x14ac:dyDescent="0.35">
      <c r="E206" t="s">
        <v>383</v>
      </c>
    </row>
    <row r="207" spans="5:5" x14ac:dyDescent="0.35">
      <c r="E207">
        <v>23</v>
      </c>
    </row>
    <row r="208" spans="5:5" x14ac:dyDescent="0.35">
      <c r="E208">
        <v>1270</v>
      </c>
    </row>
    <row r="210" spans="5:5" x14ac:dyDescent="0.35">
      <c r="E210" t="s">
        <v>383</v>
      </c>
    </row>
    <row r="211" spans="5:5" x14ac:dyDescent="0.35">
      <c r="E211">
        <v>23</v>
      </c>
    </row>
    <row r="212" spans="5:5" x14ac:dyDescent="0.35">
      <c r="E212">
        <v>1270</v>
      </c>
    </row>
    <row r="214" spans="5:5" x14ac:dyDescent="0.35">
      <c r="E214" t="s">
        <v>383</v>
      </c>
    </row>
    <row r="215" spans="5:5" x14ac:dyDescent="0.35">
      <c r="E215">
        <v>23</v>
      </c>
    </row>
    <row r="216" spans="5:5" x14ac:dyDescent="0.35">
      <c r="E216">
        <v>1270</v>
      </c>
    </row>
    <row r="218" spans="5:5" x14ac:dyDescent="0.35">
      <c r="E218" t="s">
        <v>383</v>
      </c>
    </row>
    <row r="219" spans="5:5" x14ac:dyDescent="0.35">
      <c r="E219">
        <v>23</v>
      </c>
    </row>
    <row r="220" spans="5:5" x14ac:dyDescent="0.35">
      <c r="E220">
        <v>1270</v>
      </c>
    </row>
    <row r="222" spans="5:5" x14ac:dyDescent="0.35">
      <c r="E222" t="s">
        <v>383</v>
      </c>
    </row>
    <row r="223" spans="5:5" x14ac:dyDescent="0.35">
      <c r="E223">
        <v>23</v>
      </c>
    </row>
    <row r="224" spans="5:5" x14ac:dyDescent="0.35">
      <c r="E224">
        <v>1270</v>
      </c>
    </row>
    <row r="226" spans="5:5" x14ac:dyDescent="0.35">
      <c r="E226" t="s">
        <v>383</v>
      </c>
    </row>
    <row r="227" spans="5:5" x14ac:dyDescent="0.35">
      <c r="E227">
        <v>23</v>
      </c>
    </row>
    <row r="228" spans="5:5" x14ac:dyDescent="0.35">
      <c r="E228">
        <v>1270</v>
      </c>
    </row>
    <row r="230" spans="5:5" x14ac:dyDescent="0.35">
      <c r="E230" t="s">
        <v>383</v>
      </c>
    </row>
    <row r="231" spans="5:5" x14ac:dyDescent="0.35">
      <c r="E231">
        <v>23</v>
      </c>
    </row>
    <row r="232" spans="5:5" x14ac:dyDescent="0.35">
      <c r="E232">
        <v>1270</v>
      </c>
    </row>
    <row r="234" spans="5:5" x14ac:dyDescent="0.35">
      <c r="E234" t="s">
        <v>383</v>
      </c>
    </row>
    <row r="235" spans="5:5" x14ac:dyDescent="0.35">
      <c r="E235">
        <v>23</v>
      </c>
    </row>
    <row r="236" spans="5:5" x14ac:dyDescent="0.35">
      <c r="E236">
        <v>1270</v>
      </c>
    </row>
    <row r="238" spans="5:5" x14ac:dyDescent="0.35">
      <c r="E238" t="s">
        <v>383</v>
      </c>
    </row>
    <row r="239" spans="5:5" x14ac:dyDescent="0.35">
      <c r="E239">
        <v>23</v>
      </c>
    </row>
    <row r="240" spans="5:5" x14ac:dyDescent="0.35">
      <c r="E240">
        <v>1270</v>
      </c>
    </row>
    <row r="242" spans="5:5" x14ac:dyDescent="0.35">
      <c r="E242" t="s">
        <v>383</v>
      </c>
    </row>
    <row r="243" spans="5:5" x14ac:dyDescent="0.35">
      <c r="E243">
        <v>23</v>
      </c>
    </row>
    <row r="244" spans="5:5" x14ac:dyDescent="0.35">
      <c r="E244">
        <v>1270</v>
      </c>
    </row>
    <row r="246" spans="5:5" x14ac:dyDescent="0.35">
      <c r="E246" t="s">
        <v>383</v>
      </c>
    </row>
    <row r="247" spans="5:5" x14ac:dyDescent="0.35">
      <c r="E247">
        <v>23</v>
      </c>
    </row>
    <row r="248" spans="5:5" x14ac:dyDescent="0.35">
      <c r="E248">
        <v>1270</v>
      </c>
    </row>
    <row r="250" spans="5:5" x14ac:dyDescent="0.35">
      <c r="E250" t="s">
        <v>383</v>
      </c>
    </row>
    <row r="251" spans="5:5" x14ac:dyDescent="0.35">
      <c r="E251">
        <v>23</v>
      </c>
    </row>
    <row r="252" spans="5:5" x14ac:dyDescent="0.35">
      <c r="E252">
        <v>1270</v>
      </c>
    </row>
    <row r="254" spans="5:5" x14ac:dyDescent="0.35">
      <c r="E254" t="s">
        <v>383</v>
      </c>
    </row>
    <row r="255" spans="5:5" x14ac:dyDescent="0.35">
      <c r="E255">
        <v>23</v>
      </c>
    </row>
    <row r="256" spans="5:5" x14ac:dyDescent="0.35">
      <c r="E256">
        <v>1270</v>
      </c>
    </row>
    <row r="258" spans="5:5" x14ac:dyDescent="0.35">
      <c r="E258" t="s">
        <v>383</v>
      </c>
    </row>
    <row r="259" spans="5:5" x14ac:dyDescent="0.35">
      <c r="E259">
        <v>23</v>
      </c>
    </row>
    <row r="260" spans="5:5" x14ac:dyDescent="0.35">
      <c r="E260">
        <v>1270</v>
      </c>
    </row>
    <row r="262" spans="5:5" x14ac:dyDescent="0.35">
      <c r="E262" t="s">
        <v>383</v>
      </c>
    </row>
    <row r="263" spans="5:5" x14ac:dyDescent="0.35">
      <c r="E263">
        <v>23</v>
      </c>
    </row>
    <row r="264" spans="5:5" x14ac:dyDescent="0.35">
      <c r="E264">
        <v>1270</v>
      </c>
    </row>
    <row r="266" spans="5:5" x14ac:dyDescent="0.35">
      <c r="E266" t="s">
        <v>383</v>
      </c>
    </row>
    <row r="267" spans="5:5" x14ac:dyDescent="0.35">
      <c r="E267">
        <v>23</v>
      </c>
    </row>
    <row r="268" spans="5:5" x14ac:dyDescent="0.35">
      <c r="E268">
        <v>1270</v>
      </c>
    </row>
    <row r="270" spans="5:5" x14ac:dyDescent="0.35">
      <c r="E270" t="s">
        <v>383</v>
      </c>
    </row>
    <row r="271" spans="5:5" x14ac:dyDescent="0.35">
      <c r="E271">
        <v>23</v>
      </c>
    </row>
    <row r="272" spans="5:5" x14ac:dyDescent="0.35">
      <c r="E272">
        <v>1270</v>
      </c>
    </row>
    <row r="274" spans="5:5" x14ac:dyDescent="0.35">
      <c r="E274" t="s">
        <v>383</v>
      </c>
    </row>
    <row r="275" spans="5:5" x14ac:dyDescent="0.35">
      <c r="E275">
        <v>23</v>
      </c>
    </row>
    <row r="276" spans="5:5" x14ac:dyDescent="0.35">
      <c r="E276">
        <v>1270</v>
      </c>
    </row>
    <row r="278" spans="5:5" x14ac:dyDescent="0.35">
      <c r="E278" t="s">
        <v>383</v>
      </c>
    </row>
    <row r="279" spans="5:5" x14ac:dyDescent="0.35">
      <c r="E279">
        <v>23</v>
      </c>
    </row>
    <row r="280" spans="5:5" x14ac:dyDescent="0.35">
      <c r="E280">
        <v>1270</v>
      </c>
    </row>
    <row r="282" spans="5:5" x14ac:dyDescent="0.35">
      <c r="E282" t="s">
        <v>383</v>
      </c>
    </row>
    <row r="283" spans="5:5" x14ac:dyDescent="0.35">
      <c r="E283">
        <v>23</v>
      </c>
    </row>
    <row r="284" spans="5:5" x14ac:dyDescent="0.35">
      <c r="E284">
        <v>1270</v>
      </c>
    </row>
    <row r="286" spans="5:5" x14ac:dyDescent="0.35">
      <c r="E286" t="s">
        <v>383</v>
      </c>
    </row>
    <row r="287" spans="5:5" x14ac:dyDescent="0.35">
      <c r="E287">
        <v>23</v>
      </c>
    </row>
    <row r="288" spans="5:5" x14ac:dyDescent="0.35">
      <c r="E288">
        <v>1270</v>
      </c>
    </row>
    <row r="290" spans="5:5" x14ac:dyDescent="0.35">
      <c r="E290" t="s">
        <v>383</v>
      </c>
    </row>
    <row r="291" spans="5:5" x14ac:dyDescent="0.35">
      <c r="E291">
        <v>23</v>
      </c>
    </row>
    <row r="292" spans="5:5" x14ac:dyDescent="0.35">
      <c r="E292">
        <v>1270</v>
      </c>
    </row>
    <row r="294" spans="5:5" x14ac:dyDescent="0.35">
      <c r="E294" t="s">
        <v>383</v>
      </c>
    </row>
    <row r="295" spans="5:5" x14ac:dyDescent="0.35">
      <c r="E295">
        <v>23</v>
      </c>
    </row>
    <row r="296" spans="5:5" x14ac:dyDescent="0.35">
      <c r="E296">
        <v>1270</v>
      </c>
    </row>
    <row r="298" spans="5:5" x14ac:dyDescent="0.35">
      <c r="E298" t="s">
        <v>383</v>
      </c>
    </row>
    <row r="299" spans="5:5" x14ac:dyDescent="0.35">
      <c r="E299">
        <v>23</v>
      </c>
    </row>
    <row r="300" spans="5:5" x14ac:dyDescent="0.35">
      <c r="E300">
        <v>1270</v>
      </c>
    </row>
    <row r="302" spans="5:5" x14ac:dyDescent="0.35">
      <c r="E302" t="s">
        <v>383</v>
      </c>
    </row>
    <row r="303" spans="5:5" x14ac:dyDescent="0.35">
      <c r="E303">
        <v>23</v>
      </c>
    </row>
    <row r="304" spans="5:5" x14ac:dyDescent="0.35">
      <c r="E304">
        <v>1270</v>
      </c>
    </row>
    <row r="306" spans="5:5" x14ac:dyDescent="0.35">
      <c r="E306" t="s">
        <v>383</v>
      </c>
    </row>
    <row r="307" spans="5:5" x14ac:dyDescent="0.35">
      <c r="E307">
        <v>23</v>
      </c>
    </row>
    <row r="308" spans="5:5" x14ac:dyDescent="0.35">
      <c r="E308">
        <v>1270</v>
      </c>
    </row>
    <row r="310" spans="5:5" x14ac:dyDescent="0.35">
      <c r="E310" t="s">
        <v>383</v>
      </c>
    </row>
    <row r="311" spans="5:5" x14ac:dyDescent="0.35">
      <c r="E311">
        <v>23</v>
      </c>
    </row>
    <row r="312" spans="5:5" x14ac:dyDescent="0.35">
      <c r="E312">
        <v>1270</v>
      </c>
    </row>
    <row r="314" spans="5:5" x14ac:dyDescent="0.35">
      <c r="E314" t="s">
        <v>383</v>
      </c>
    </row>
    <row r="315" spans="5:5" x14ac:dyDescent="0.35">
      <c r="E315">
        <v>23</v>
      </c>
    </row>
    <row r="316" spans="5:5" x14ac:dyDescent="0.35">
      <c r="E316">
        <v>1270</v>
      </c>
    </row>
    <row r="318" spans="5:5" x14ac:dyDescent="0.35">
      <c r="E318" t="s">
        <v>383</v>
      </c>
    </row>
    <row r="319" spans="5:5" x14ac:dyDescent="0.35">
      <c r="E319">
        <v>23</v>
      </c>
    </row>
    <row r="320" spans="5:5" x14ac:dyDescent="0.35">
      <c r="E320">
        <v>1270</v>
      </c>
    </row>
    <row r="322" spans="5:5" x14ac:dyDescent="0.35">
      <c r="E322" t="s">
        <v>383</v>
      </c>
    </row>
    <row r="323" spans="5:5" x14ac:dyDescent="0.35">
      <c r="E323">
        <v>23</v>
      </c>
    </row>
    <row r="324" spans="5:5" x14ac:dyDescent="0.35">
      <c r="E324">
        <v>1270</v>
      </c>
    </row>
    <row r="326" spans="5:5" x14ac:dyDescent="0.35">
      <c r="E326" t="s">
        <v>383</v>
      </c>
    </row>
    <row r="327" spans="5:5" x14ac:dyDescent="0.35">
      <c r="E327">
        <v>23</v>
      </c>
    </row>
    <row r="328" spans="5:5" x14ac:dyDescent="0.35">
      <c r="E328">
        <v>1270</v>
      </c>
    </row>
    <row r="330" spans="5:5" x14ac:dyDescent="0.35">
      <c r="E330" t="s">
        <v>383</v>
      </c>
    </row>
    <row r="331" spans="5:5" x14ac:dyDescent="0.35">
      <c r="E331">
        <v>23</v>
      </c>
    </row>
    <row r="332" spans="5:5" x14ac:dyDescent="0.35">
      <c r="E332">
        <v>1270</v>
      </c>
    </row>
    <row r="334" spans="5:5" x14ac:dyDescent="0.35">
      <c r="E334" t="s">
        <v>383</v>
      </c>
    </row>
    <row r="335" spans="5:5" x14ac:dyDescent="0.35">
      <c r="E335">
        <v>23</v>
      </c>
    </row>
    <row r="336" spans="5:5" x14ac:dyDescent="0.35">
      <c r="E336">
        <v>1270</v>
      </c>
    </row>
    <row r="338" spans="5:5" x14ac:dyDescent="0.35">
      <c r="E338" t="s">
        <v>383</v>
      </c>
    </row>
    <row r="339" spans="5:5" x14ac:dyDescent="0.35">
      <c r="E339">
        <v>23</v>
      </c>
    </row>
    <row r="340" spans="5:5" x14ac:dyDescent="0.35">
      <c r="E340">
        <v>1270</v>
      </c>
    </row>
    <row r="342" spans="5:5" x14ac:dyDescent="0.35">
      <c r="E342" t="s">
        <v>383</v>
      </c>
    </row>
    <row r="343" spans="5:5" x14ac:dyDescent="0.35">
      <c r="E343">
        <v>23</v>
      </c>
    </row>
    <row r="344" spans="5:5" x14ac:dyDescent="0.35">
      <c r="E344">
        <v>1270</v>
      </c>
    </row>
    <row r="346" spans="5:5" x14ac:dyDescent="0.35">
      <c r="E346" t="s">
        <v>383</v>
      </c>
    </row>
    <row r="347" spans="5:5" x14ac:dyDescent="0.35">
      <c r="E347">
        <v>23</v>
      </c>
    </row>
    <row r="348" spans="5:5" x14ac:dyDescent="0.35">
      <c r="E348">
        <v>1270</v>
      </c>
    </row>
    <row r="350" spans="5:5" x14ac:dyDescent="0.35">
      <c r="E350" t="s">
        <v>383</v>
      </c>
    </row>
    <row r="351" spans="5:5" x14ac:dyDescent="0.35">
      <c r="E351">
        <v>23</v>
      </c>
    </row>
    <row r="352" spans="5:5" x14ac:dyDescent="0.35">
      <c r="E352">
        <v>1270</v>
      </c>
    </row>
    <row r="354" spans="5:5" x14ac:dyDescent="0.35">
      <c r="E354" t="s">
        <v>383</v>
      </c>
    </row>
    <row r="355" spans="5:5" x14ac:dyDescent="0.35">
      <c r="E355">
        <v>23</v>
      </c>
    </row>
    <row r="356" spans="5:5" x14ac:dyDescent="0.35">
      <c r="E356">
        <v>1270</v>
      </c>
    </row>
    <row r="358" spans="5:5" x14ac:dyDescent="0.35">
      <c r="E358" t="s">
        <v>383</v>
      </c>
    </row>
    <row r="359" spans="5:5" x14ac:dyDescent="0.35">
      <c r="E359">
        <v>23</v>
      </c>
    </row>
    <row r="360" spans="5:5" x14ac:dyDescent="0.35">
      <c r="E360">
        <v>1270</v>
      </c>
    </row>
    <row r="362" spans="5:5" x14ac:dyDescent="0.35">
      <c r="E362" t="s">
        <v>383</v>
      </c>
    </row>
    <row r="363" spans="5:5" x14ac:dyDescent="0.35">
      <c r="E363">
        <v>23</v>
      </c>
    </row>
    <row r="364" spans="5:5" x14ac:dyDescent="0.35">
      <c r="E364">
        <v>1270</v>
      </c>
    </row>
    <row r="366" spans="5:5" x14ac:dyDescent="0.35">
      <c r="E366" t="s">
        <v>383</v>
      </c>
    </row>
    <row r="367" spans="5:5" x14ac:dyDescent="0.35">
      <c r="E367">
        <v>23</v>
      </c>
    </row>
    <row r="368" spans="5:5" x14ac:dyDescent="0.35">
      <c r="E368">
        <v>1270</v>
      </c>
    </row>
    <row r="370" spans="5:5" x14ac:dyDescent="0.35">
      <c r="E370" t="s">
        <v>383</v>
      </c>
    </row>
    <row r="371" spans="5:5" x14ac:dyDescent="0.35">
      <c r="E371">
        <v>23</v>
      </c>
    </row>
    <row r="372" spans="5:5" x14ac:dyDescent="0.35">
      <c r="E372">
        <v>1270</v>
      </c>
    </row>
    <row r="374" spans="5:5" x14ac:dyDescent="0.35">
      <c r="E374" t="s">
        <v>383</v>
      </c>
    </row>
    <row r="375" spans="5:5" x14ac:dyDescent="0.35">
      <c r="E375">
        <v>23</v>
      </c>
    </row>
    <row r="376" spans="5:5" x14ac:dyDescent="0.35">
      <c r="E376">
        <v>1270</v>
      </c>
    </row>
    <row r="378" spans="5:5" x14ac:dyDescent="0.35">
      <c r="E378" t="s">
        <v>383</v>
      </c>
    </row>
    <row r="379" spans="5:5" x14ac:dyDescent="0.35">
      <c r="E379">
        <v>23</v>
      </c>
    </row>
    <row r="380" spans="5:5" x14ac:dyDescent="0.35">
      <c r="E380">
        <v>1270</v>
      </c>
    </row>
    <row r="382" spans="5:5" x14ac:dyDescent="0.35">
      <c r="E382" t="s">
        <v>383</v>
      </c>
    </row>
    <row r="383" spans="5:5" x14ac:dyDescent="0.35">
      <c r="E383">
        <v>23</v>
      </c>
    </row>
    <row r="384" spans="5:5" x14ac:dyDescent="0.35">
      <c r="E384">
        <v>1270</v>
      </c>
    </row>
    <row r="386" spans="5:5" x14ac:dyDescent="0.35">
      <c r="E386" t="s">
        <v>383</v>
      </c>
    </row>
    <row r="387" spans="5:5" x14ac:dyDescent="0.35">
      <c r="E387">
        <v>23</v>
      </c>
    </row>
    <row r="388" spans="5:5" x14ac:dyDescent="0.35">
      <c r="E388">
        <v>1270</v>
      </c>
    </row>
    <row r="390" spans="5:5" x14ac:dyDescent="0.35">
      <c r="E390" t="s">
        <v>383</v>
      </c>
    </row>
    <row r="391" spans="5:5" x14ac:dyDescent="0.35">
      <c r="E391">
        <v>23</v>
      </c>
    </row>
    <row r="392" spans="5:5" x14ac:dyDescent="0.35">
      <c r="E392">
        <v>1270</v>
      </c>
    </row>
    <row r="394" spans="5:5" x14ac:dyDescent="0.35">
      <c r="E394" t="s">
        <v>383</v>
      </c>
    </row>
    <row r="395" spans="5:5" x14ac:dyDescent="0.35">
      <c r="E395">
        <v>23</v>
      </c>
    </row>
    <row r="396" spans="5:5" x14ac:dyDescent="0.35">
      <c r="E396">
        <v>1270</v>
      </c>
    </row>
    <row r="398" spans="5:5" x14ac:dyDescent="0.35">
      <c r="E398" t="s">
        <v>383</v>
      </c>
    </row>
    <row r="399" spans="5:5" x14ac:dyDescent="0.35">
      <c r="E399">
        <v>23</v>
      </c>
    </row>
    <row r="400" spans="5:5" x14ac:dyDescent="0.35">
      <c r="E400">
        <v>1270</v>
      </c>
    </row>
    <row r="402" spans="5:5" x14ac:dyDescent="0.35">
      <c r="E402" t="s">
        <v>383</v>
      </c>
    </row>
    <row r="403" spans="5:5" x14ac:dyDescent="0.35">
      <c r="E403">
        <v>23</v>
      </c>
    </row>
    <row r="404" spans="5:5" x14ac:dyDescent="0.35">
      <c r="E404">
        <v>1270</v>
      </c>
    </row>
    <row r="406" spans="5:5" x14ac:dyDescent="0.35">
      <c r="E406" t="s">
        <v>383</v>
      </c>
    </row>
    <row r="407" spans="5:5" x14ac:dyDescent="0.35">
      <c r="E407">
        <v>23</v>
      </c>
    </row>
    <row r="408" spans="5:5" x14ac:dyDescent="0.35">
      <c r="E408">
        <v>1270</v>
      </c>
    </row>
    <row r="410" spans="5:5" x14ac:dyDescent="0.35">
      <c r="E410" t="s">
        <v>383</v>
      </c>
    </row>
    <row r="411" spans="5:5" x14ac:dyDescent="0.35">
      <c r="E411">
        <v>23</v>
      </c>
    </row>
    <row r="412" spans="5:5" x14ac:dyDescent="0.35">
      <c r="E412">
        <v>1270</v>
      </c>
    </row>
    <row r="414" spans="5:5" x14ac:dyDescent="0.35">
      <c r="E414" t="s">
        <v>387</v>
      </c>
    </row>
    <row r="416" spans="5:5" x14ac:dyDescent="0.35">
      <c r="E416" t="s">
        <v>388</v>
      </c>
    </row>
    <row r="417" spans="5:5" x14ac:dyDescent="0.35">
      <c r="E417">
        <v>0</v>
      </c>
    </row>
    <row r="418" spans="5:5" x14ac:dyDescent="0.35">
      <c r="E418">
        <v>1050</v>
      </c>
    </row>
    <row r="420" spans="5:5" x14ac:dyDescent="0.35">
      <c r="E420" t="s">
        <v>389</v>
      </c>
    </row>
    <row r="422" spans="5:5" x14ac:dyDescent="0.35">
      <c r="E422" t="s">
        <v>388</v>
      </c>
    </row>
    <row r="423" spans="5:5" x14ac:dyDescent="0.35">
      <c r="E423">
        <v>0</v>
      </c>
    </row>
    <row r="424" spans="5:5" x14ac:dyDescent="0.35">
      <c r="E424">
        <v>1080</v>
      </c>
    </row>
    <row r="426" spans="5:5" x14ac:dyDescent="0.35">
      <c r="E426" t="s">
        <v>390</v>
      </c>
    </row>
    <row r="428" spans="5:5" x14ac:dyDescent="0.35">
      <c r="E428" t="s">
        <v>388</v>
      </c>
    </row>
    <row r="429" spans="5:5" x14ac:dyDescent="0.35">
      <c r="E429">
        <v>0</v>
      </c>
    </row>
    <row r="430" spans="5:5" x14ac:dyDescent="0.35">
      <c r="E430">
        <v>800</v>
      </c>
    </row>
    <row r="432" spans="5:5" x14ac:dyDescent="0.35">
      <c r="E432" t="s">
        <v>391</v>
      </c>
    </row>
    <row r="434" spans="5:5" x14ac:dyDescent="0.35">
      <c r="E434" t="s">
        <v>388</v>
      </c>
    </row>
    <row r="435" spans="5:5" x14ac:dyDescent="0.35">
      <c r="E435">
        <v>0</v>
      </c>
    </row>
    <row r="436" spans="5:5" x14ac:dyDescent="0.35">
      <c r="E436">
        <v>1350</v>
      </c>
    </row>
    <row r="438" spans="5:5" x14ac:dyDescent="0.35">
      <c r="E438" t="s">
        <v>392</v>
      </c>
    </row>
    <row r="440" spans="5:5" x14ac:dyDescent="0.35">
      <c r="E440" t="s">
        <v>388</v>
      </c>
    </row>
    <row r="441" spans="5:5" x14ac:dyDescent="0.35">
      <c r="E441">
        <v>0</v>
      </c>
    </row>
    <row r="442" spans="5:5" x14ac:dyDescent="0.35">
      <c r="E442">
        <v>700</v>
      </c>
    </row>
    <row r="444" spans="5:5" x14ac:dyDescent="0.35">
      <c r="E444" t="s">
        <v>393</v>
      </c>
    </row>
    <row r="446" spans="5:5" x14ac:dyDescent="0.35">
      <c r="E446" t="s">
        <v>388</v>
      </c>
    </row>
    <row r="447" spans="5:5" x14ac:dyDescent="0.35">
      <c r="E447">
        <v>0</v>
      </c>
    </row>
    <row r="448" spans="5:5" x14ac:dyDescent="0.35">
      <c r="E448">
        <v>500</v>
      </c>
    </row>
    <row r="450" spans="5:5" x14ac:dyDescent="0.35">
      <c r="E450" t="s">
        <v>387</v>
      </c>
    </row>
    <row r="452" spans="5:5" x14ac:dyDescent="0.35">
      <c r="E452" t="s">
        <v>395</v>
      </c>
    </row>
    <row r="453" spans="5:5" x14ac:dyDescent="0.35">
      <c r="E453">
        <v>0</v>
      </c>
    </row>
    <row r="454" spans="5:5" x14ac:dyDescent="0.35">
      <c r="E454">
        <v>1050</v>
      </c>
    </row>
    <row r="456" spans="5:5" x14ac:dyDescent="0.35">
      <c r="E456" t="s">
        <v>389</v>
      </c>
    </row>
    <row r="458" spans="5:5" x14ac:dyDescent="0.35">
      <c r="E458" t="s">
        <v>395</v>
      </c>
    </row>
    <row r="459" spans="5:5" x14ac:dyDescent="0.35">
      <c r="E459">
        <v>0</v>
      </c>
    </row>
    <row r="460" spans="5:5" x14ac:dyDescent="0.35">
      <c r="E460">
        <v>1080</v>
      </c>
    </row>
    <row r="462" spans="5:5" x14ac:dyDescent="0.35">
      <c r="E462" t="s">
        <v>390</v>
      </c>
    </row>
    <row r="464" spans="5:5" x14ac:dyDescent="0.35">
      <c r="E464" t="s">
        <v>395</v>
      </c>
    </row>
    <row r="465" spans="5:5" x14ac:dyDescent="0.35">
      <c r="E465">
        <v>0</v>
      </c>
    </row>
    <row r="466" spans="5:5" x14ac:dyDescent="0.35">
      <c r="E466">
        <v>800</v>
      </c>
    </row>
    <row r="468" spans="5:5" x14ac:dyDescent="0.35">
      <c r="E468" t="s">
        <v>391</v>
      </c>
    </row>
    <row r="470" spans="5:5" x14ac:dyDescent="0.35">
      <c r="E470" t="s">
        <v>395</v>
      </c>
    </row>
    <row r="471" spans="5:5" x14ac:dyDescent="0.35">
      <c r="E471">
        <v>0</v>
      </c>
    </row>
    <row r="472" spans="5:5" x14ac:dyDescent="0.35">
      <c r="E472">
        <v>1350</v>
      </c>
    </row>
    <row r="474" spans="5:5" x14ac:dyDescent="0.35">
      <c r="E474" t="s">
        <v>392</v>
      </c>
    </row>
    <row r="476" spans="5:5" x14ac:dyDescent="0.35">
      <c r="E476" t="s">
        <v>395</v>
      </c>
    </row>
    <row r="477" spans="5:5" x14ac:dyDescent="0.35">
      <c r="E477">
        <v>0</v>
      </c>
    </row>
    <row r="478" spans="5:5" x14ac:dyDescent="0.35">
      <c r="E478">
        <v>700</v>
      </c>
    </row>
    <row r="480" spans="5:5" x14ac:dyDescent="0.35">
      <c r="E480" t="s">
        <v>393</v>
      </c>
    </row>
    <row r="482" spans="5:5" x14ac:dyDescent="0.35">
      <c r="E482" t="s">
        <v>395</v>
      </c>
    </row>
    <row r="483" spans="5:5" x14ac:dyDescent="0.35">
      <c r="E483">
        <v>0</v>
      </c>
    </row>
    <row r="484" spans="5:5" x14ac:dyDescent="0.35">
      <c r="E484">
        <v>500</v>
      </c>
    </row>
    <row r="486" spans="5:5" x14ac:dyDescent="0.35">
      <c r="E486" t="s">
        <v>387</v>
      </c>
    </row>
    <row r="488" spans="5:5" x14ac:dyDescent="0.35">
      <c r="E488" t="s">
        <v>396</v>
      </c>
    </row>
    <row r="489" spans="5:5" x14ac:dyDescent="0.35">
      <c r="E489">
        <v>0</v>
      </c>
    </row>
    <row r="490" spans="5:5" x14ac:dyDescent="0.35">
      <c r="E490">
        <v>1050</v>
      </c>
    </row>
    <row r="492" spans="5:5" x14ac:dyDescent="0.35">
      <c r="E492" t="s">
        <v>389</v>
      </c>
    </row>
    <row r="494" spans="5:5" x14ac:dyDescent="0.35">
      <c r="E494" t="s">
        <v>396</v>
      </c>
    </row>
    <row r="495" spans="5:5" x14ac:dyDescent="0.35">
      <c r="E495">
        <v>0</v>
      </c>
    </row>
    <row r="496" spans="5:5" x14ac:dyDescent="0.35">
      <c r="E496">
        <v>1080</v>
      </c>
    </row>
    <row r="498" spans="5:5" x14ac:dyDescent="0.35">
      <c r="E498" t="s">
        <v>390</v>
      </c>
    </row>
    <row r="500" spans="5:5" x14ac:dyDescent="0.35">
      <c r="E500" t="s">
        <v>396</v>
      </c>
    </row>
    <row r="501" spans="5:5" x14ac:dyDescent="0.35">
      <c r="E501">
        <v>0</v>
      </c>
    </row>
    <row r="502" spans="5:5" x14ac:dyDescent="0.35">
      <c r="E502">
        <v>800</v>
      </c>
    </row>
    <row r="504" spans="5:5" x14ac:dyDescent="0.35">
      <c r="E504" t="s">
        <v>391</v>
      </c>
    </row>
    <row r="506" spans="5:5" x14ac:dyDescent="0.35">
      <c r="E506" t="s">
        <v>396</v>
      </c>
    </row>
    <row r="507" spans="5:5" x14ac:dyDescent="0.35">
      <c r="E507">
        <v>0</v>
      </c>
    </row>
    <row r="508" spans="5:5" x14ac:dyDescent="0.35">
      <c r="E508">
        <v>1350</v>
      </c>
    </row>
    <row r="510" spans="5:5" x14ac:dyDescent="0.35">
      <c r="E510" t="s">
        <v>392</v>
      </c>
    </row>
    <row r="512" spans="5:5" x14ac:dyDescent="0.35">
      <c r="E512" t="s">
        <v>396</v>
      </c>
    </row>
    <row r="513" spans="5:5" x14ac:dyDescent="0.35">
      <c r="E513">
        <v>0</v>
      </c>
    </row>
    <row r="514" spans="5:5" x14ac:dyDescent="0.35">
      <c r="E514">
        <v>700</v>
      </c>
    </row>
    <row r="516" spans="5:5" x14ac:dyDescent="0.35">
      <c r="E516" t="s">
        <v>393</v>
      </c>
    </row>
    <row r="518" spans="5:5" x14ac:dyDescent="0.35">
      <c r="E518" t="s">
        <v>396</v>
      </c>
    </row>
    <row r="519" spans="5:5" x14ac:dyDescent="0.35">
      <c r="E519">
        <v>0</v>
      </c>
    </row>
    <row r="520" spans="5:5" x14ac:dyDescent="0.35">
      <c r="E520">
        <v>500</v>
      </c>
    </row>
    <row r="522" spans="5:5" x14ac:dyDescent="0.35">
      <c r="E522" t="s">
        <v>387</v>
      </c>
    </row>
    <row r="524" spans="5:5" x14ac:dyDescent="0.35">
      <c r="E524" t="s">
        <v>396</v>
      </c>
    </row>
    <row r="525" spans="5:5" x14ac:dyDescent="0.35">
      <c r="E525">
        <v>0</v>
      </c>
    </row>
    <row r="526" spans="5:5" x14ac:dyDescent="0.35">
      <c r="E526">
        <v>1050</v>
      </c>
    </row>
    <row r="528" spans="5:5" x14ac:dyDescent="0.35">
      <c r="E528" t="s">
        <v>389</v>
      </c>
    </row>
    <row r="530" spans="5:5" x14ac:dyDescent="0.35">
      <c r="E530" t="s">
        <v>396</v>
      </c>
    </row>
    <row r="531" spans="5:5" x14ac:dyDescent="0.35">
      <c r="E531">
        <v>0</v>
      </c>
    </row>
    <row r="532" spans="5:5" x14ac:dyDescent="0.35">
      <c r="E532">
        <v>1080</v>
      </c>
    </row>
    <row r="534" spans="5:5" x14ac:dyDescent="0.35">
      <c r="E534" t="s">
        <v>390</v>
      </c>
    </row>
    <row r="536" spans="5:5" x14ac:dyDescent="0.35">
      <c r="E536" t="s">
        <v>396</v>
      </c>
    </row>
    <row r="537" spans="5:5" x14ac:dyDescent="0.35">
      <c r="E537">
        <v>0</v>
      </c>
    </row>
    <row r="538" spans="5:5" x14ac:dyDescent="0.35">
      <c r="E538">
        <v>800</v>
      </c>
    </row>
    <row r="540" spans="5:5" x14ac:dyDescent="0.35">
      <c r="E540" t="s">
        <v>391</v>
      </c>
    </row>
    <row r="542" spans="5:5" x14ac:dyDescent="0.35">
      <c r="E542" t="s">
        <v>396</v>
      </c>
    </row>
    <row r="543" spans="5:5" x14ac:dyDescent="0.35">
      <c r="E543">
        <v>0</v>
      </c>
    </row>
    <row r="544" spans="5:5" x14ac:dyDescent="0.35">
      <c r="E544">
        <v>1350</v>
      </c>
    </row>
    <row r="546" spans="5:5" x14ac:dyDescent="0.35">
      <c r="E546" t="s">
        <v>392</v>
      </c>
    </row>
    <row r="548" spans="5:5" x14ac:dyDescent="0.35">
      <c r="E548" t="s">
        <v>396</v>
      </c>
    </row>
    <row r="549" spans="5:5" x14ac:dyDescent="0.35">
      <c r="E549">
        <v>0</v>
      </c>
    </row>
    <row r="550" spans="5:5" x14ac:dyDescent="0.35">
      <c r="E550">
        <v>700</v>
      </c>
    </row>
    <row r="552" spans="5:5" x14ac:dyDescent="0.35">
      <c r="E552" t="s">
        <v>393</v>
      </c>
    </row>
    <row r="554" spans="5:5" x14ac:dyDescent="0.35">
      <c r="E554" t="s">
        <v>396</v>
      </c>
    </row>
    <row r="555" spans="5:5" x14ac:dyDescent="0.35">
      <c r="E555">
        <v>0</v>
      </c>
    </row>
    <row r="556" spans="5:5" x14ac:dyDescent="0.35">
      <c r="E556">
        <v>500</v>
      </c>
    </row>
    <row r="558" spans="5:5" x14ac:dyDescent="0.35">
      <c r="E558" t="s">
        <v>387</v>
      </c>
    </row>
    <row r="560" spans="5:5" x14ac:dyDescent="0.35">
      <c r="E560" t="s">
        <v>396</v>
      </c>
    </row>
    <row r="561" spans="5:5" x14ac:dyDescent="0.35">
      <c r="E561">
        <v>0</v>
      </c>
    </row>
    <row r="562" spans="5:5" x14ac:dyDescent="0.35">
      <c r="E562">
        <v>1050</v>
      </c>
    </row>
    <row r="564" spans="5:5" x14ac:dyDescent="0.35">
      <c r="E564" t="s">
        <v>389</v>
      </c>
    </row>
    <row r="566" spans="5:5" x14ac:dyDescent="0.35">
      <c r="E566" t="s">
        <v>396</v>
      </c>
    </row>
    <row r="567" spans="5:5" x14ac:dyDescent="0.35">
      <c r="E567">
        <v>0</v>
      </c>
    </row>
    <row r="568" spans="5:5" x14ac:dyDescent="0.35">
      <c r="E568">
        <v>1080</v>
      </c>
    </row>
    <row r="570" spans="5:5" x14ac:dyDescent="0.35">
      <c r="E570" t="s">
        <v>390</v>
      </c>
    </row>
    <row r="572" spans="5:5" x14ac:dyDescent="0.35">
      <c r="E572" t="s">
        <v>396</v>
      </c>
    </row>
    <row r="573" spans="5:5" x14ac:dyDescent="0.35">
      <c r="E573">
        <v>0</v>
      </c>
    </row>
    <row r="574" spans="5:5" x14ac:dyDescent="0.35">
      <c r="E574">
        <v>800</v>
      </c>
    </row>
    <row r="576" spans="5:5" x14ac:dyDescent="0.35">
      <c r="E576" t="s">
        <v>391</v>
      </c>
    </row>
    <row r="578" spans="5:5" x14ac:dyDescent="0.35">
      <c r="E578" t="s">
        <v>396</v>
      </c>
    </row>
    <row r="579" spans="5:5" x14ac:dyDescent="0.35">
      <c r="E579">
        <v>0</v>
      </c>
    </row>
    <row r="580" spans="5:5" x14ac:dyDescent="0.35">
      <c r="E580">
        <v>1350</v>
      </c>
    </row>
    <row r="582" spans="5:5" x14ac:dyDescent="0.35">
      <c r="E582" t="s">
        <v>392</v>
      </c>
    </row>
    <row r="584" spans="5:5" x14ac:dyDescent="0.35">
      <c r="E584" t="s">
        <v>396</v>
      </c>
    </row>
    <row r="585" spans="5:5" x14ac:dyDescent="0.35">
      <c r="E585">
        <v>0</v>
      </c>
    </row>
    <row r="586" spans="5:5" x14ac:dyDescent="0.35">
      <c r="E586">
        <v>700</v>
      </c>
    </row>
    <row r="588" spans="5:5" x14ac:dyDescent="0.35">
      <c r="E588" t="s">
        <v>393</v>
      </c>
    </row>
    <row r="590" spans="5:5" x14ac:dyDescent="0.35">
      <c r="E590" t="s">
        <v>396</v>
      </c>
    </row>
    <row r="591" spans="5:5" x14ac:dyDescent="0.35">
      <c r="E591">
        <v>0</v>
      </c>
    </row>
    <row r="592" spans="5:5" x14ac:dyDescent="0.35">
      <c r="E592">
        <v>500</v>
      </c>
    </row>
    <row r="594" spans="5:5" x14ac:dyDescent="0.35">
      <c r="E594" t="s">
        <v>387</v>
      </c>
    </row>
    <row r="596" spans="5:5" x14ac:dyDescent="0.35">
      <c r="E596" t="s">
        <v>396</v>
      </c>
    </row>
    <row r="597" spans="5:5" x14ac:dyDescent="0.35">
      <c r="E597">
        <v>0</v>
      </c>
    </row>
    <row r="598" spans="5:5" x14ac:dyDescent="0.35">
      <c r="E598">
        <v>1050</v>
      </c>
    </row>
    <row r="600" spans="5:5" x14ac:dyDescent="0.35">
      <c r="E600" t="s">
        <v>389</v>
      </c>
    </row>
    <row r="602" spans="5:5" x14ac:dyDescent="0.35">
      <c r="E602" t="s">
        <v>396</v>
      </c>
    </row>
    <row r="603" spans="5:5" x14ac:dyDescent="0.35">
      <c r="E603">
        <v>0</v>
      </c>
    </row>
    <row r="604" spans="5:5" x14ac:dyDescent="0.35">
      <c r="E604">
        <v>1080</v>
      </c>
    </row>
    <row r="606" spans="5:5" x14ac:dyDescent="0.35">
      <c r="E606" t="s">
        <v>390</v>
      </c>
    </row>
    <row r="608" spans="5:5" x14ac:dyDescent="0.35">
      <c r="E608" t="s">
        <v>396</v>
      </c>
    </row>
    <row r="609" spans="5:5" x14ac:dyDescent="0.35">
      <c r="E609">
        <v>0</v>
      </c>
    </row>
    <row r="610" spans="5:5" x14ac:dyDescent="0.35">
      <c r="E610">
        <v>800</v>
      </c>
    </row>
    <row r="612" spans="5:5" x14ac:dyDescent="0.35">
      <c r="E612" t="s">
        <v>391</v>
      </c>
    </row>
    <row r="614" spans="5:5" x14ac:dyDescent="0.35">
      <c r="E614" t="s">
        <v>396</v>
      </c>
    </row>
    <row r="615" spans="5:5" x14ac:dyDescent="0.35">
      <c r="E615">
        <v>0</v>
      </c>
    </row>
    <row r="616" spans="5:5" x14ac:dyDescent="0.35">
      <c r="E616">
        <v>1350</v>
      </c>
    </row>
    <row r="618" spans="5:5" x14ac:dyDescent="0.35">
      <c r="E618" t="s">
        <v>392</v>
      </c>
    </row>
    <row r="620" spans="5:5" x14ac:dyDescent="0.35">
      <c r="E620" t="s">
        <v>396</v>
      </c>
    </row>
    <row r="621" spans="5:5" x14ac:dyDescent="0.35">
      <c r="E621">
        <v>0</v>
      </c>
    </row>
    <row r="622" spans="5:5" x14ac:dyDescent="0.35">
      <c r="E622">
        <v>700</v>
      </c>
    </row>
    <row r="624" spans="5:5" x14ac:dyDescent="0.35">
      <c r="E624" t="s">
        <v>393</v>
      </c>
    </row>
    <row r="626" spans="5:5" x14ac:dyDescent="0.35">
      <c r="E626" t="s">
        <v>396</v>
      </c>
    </row>
    <row r="627" spans="5:5" x14ac:dyDescent="0.35">
      <c r="E627">
        <v>0</v>
      </c>
    </row>
    <row r="628" spans="5:5" x14ac:dyDescent="0.35">
      <c r="E628">
        <v>500</v>
      </c>
    </row>
    <row r="630" spans="5:5" x14ac:dyDescent="0.35">
      <c r="E630" t="s">
        <v>387</v>
      </c>
    </row>
    <row r="632" spans="5:5" x14ac:dyDescent="0.35">
      <c r="E632" t="s">
        <v>396</v>
      </c>
    </row>
    <row r="633" spans="5:5" x14ac:dyDescent="0.35">
      <c r="E633">
        <v>0</v>
      </c>
    </row>
    <row r="634" spans="5:5" x14ac:dyDescent="0.35">
      <c r="E634">
        <v>1050</v>
      </c>
    </row>
    <row r="636" spans="5:5" x14ac:dyDescent="0.35">
      <c r="E636" t="s">
        <v>389</v>
      </c>
    </row>
    <row r="638" spans="5:5" x14ac:dyDescent="0.35">
      <c r="E638" t="s">
        <v>396</v>
      </c>
    </row>
    <row r="639" spans="5:5" x14ac:dyDescent="0.35">
      <c r="E639">
        <v>0</v>
      </c>
    </row>
    <row r="640" spans="5:5" x14ac:dyDescent="0.35">
      <c r="E640">
        <v>1080</v>
      </c>
    </row>
    <row r="642" spans="5:5" x14ac:dyDescent="0.35">
      <c r="E642" t="s">
        <v>390</v>
      </c>
    </row>
    <row r="644" spans="5:5" x14ac:dyDescent="0.35">
      <c r="E644" t="s">
        <v>396</v>
      </c>
    </row>
    <row r="645" spans="5:5" x14ac:dyDescent="0.35">
      <c r="E645">
        <v>0</v>
      </c>
    </row>
    <row r="646" spans="5:5" x14ac:dyDescent="0.35">
      <c r="E646">
        <v>800</v>
      </c>
    </row>
    <row r="648" spans="5:5" x14ac:dyDescent="0.35">
      <c r="E648" t="s">
        <v>391</v>
      </c>
    </row>
    <row r="650" spans="5:5" x14ac:dyDescent="0.35">
      <c r="E650" t="s">
        <v>396</v>
      </c>
    </row>
    <row r="651" spans="5:5" x14ac:dyDescent="0.35">
      <c r="E651">
        <v>0</v>
      </c>
    </row>
    <row r="652" spans="5:5" x14ac:dyDescent="0.35">
      <c r="E652">
        <v>1350</v>
      </c>
    </row>
    <row r="654" spans="5:5" x14ac:dyDescent="0.35">
      <c r="E654" t="s">
        <v>392</v>
      </c>
    </row>
    <row r="656" spans="5:5" x14ac:dyDescent="0.35">
      <c r="E656" t="s">
        <v>396</v>
      </c>
    </row>
    <row r="657" spans="5:5" x14ac:dyDescent="0.35">
      <c r="E657">
        <v>0</v>
      </c>
    </row>
    <row r="658" spans="5:5" x14ac:dyDescent="0.35">
      <c r="E658">
        <v>700</v>
      </c>
    </row>
    <row r="660" spans="5:5" x14ac:dyDescent="0.35">
      <c r="E660" t="s">
        <v>393</v>
      </c>
    </row>
    <row r="662" spans="5:5" x14ac:dyDescent="0.35">
      <c r="E662" t="s">
        <v>396</v>
      </c>
    </row>
    <row r="663" spans="5:5" x14ac:dyDescent="0.35">
      <c r="E663">
        <v>0</v>
      </c>
    </row>
    <row r="664" spans="5:5" x14ac:dyDescent="0.35">
      <c r="E664">
        <v>500</v>
      </c>
    </row>
    <row r="666" spans="5:5" x14ac:dyDescent="0.35">
      <c r="E666" t="s">
        <v>387</v>
      </c>
    </row>
    <row r="668" spans="5:5" x14ac:dyDescent="0.35">
      <c r="E668" t="s">
        <v>396</v>
      </c>
    </row>
    <row r="669" spans="5:5" x14ac:dyDescent="0.35">
      <c r="E669">
        <v>0</v>
      </c>
    </row>
    <row r="670" spans="5:5" x14ac:dyDescent="0.35">
      <c r="E670">
        <v>1050</v>
      </c>
    </row>
    <row r="672" spans="5:5" x14ac:dyDescent="0.35">
      <c r="E672" t="s">
        <v>389</v>
      </c>
    </row>
    <row r="674" spans="5:5" x14ac:dyDescent="0.35">
      <c r="E674" t="s">
        <v>396</v>
      </c>
    </row>
    <row r="675" spans="5:5" x14ac:dyDescent="0.35">
      <c r="E675">
        <v>0</v>
      </c>
    </row>
    <row r="676" spans="5:5" x14ac:dyDescent="0.35">
      <c r="E676">
        <v>1080</v>
      </c>
    </row>
    <row r="678" spans="5:5" x14ac:dyDescent="0.35">
      <c r="E678" t="s">
        <v>390</v>
      </c>
    </row>
    <row r="680" spans="5:5" x14ac:dyDescent="0.35">
      <c r="E680" t="s">
        <v>396</v>
      </c>
    </row>
    <row r="681" spans="5:5" x14ac:dyDescent="0.35">
      <c r="E681">
        <v>0</v>
      </c>
    </row>
    <row r="682" spans="5:5" x14ac:dyDescent="0.35">
      <c r="E682">
        <v>800</v>
      </c>
    </row>
    <row r="684" spans="5:5" x14ac:dyDescent="0.35">
      <c r="E684" t="s">
        <v>391</v>
      </c>
    </row>
    <row r="686" spans="5:5" x14ac:dyDescent="0.35">
      <c r="E686" t="s">
        <v>396</v>
      </c>
    </row>
    <row r="687" spans="5:5" x14ac:dyDescent="0.35">
      <c r="E687">
        <v>0</v>
      </c>
    </row>
    <row r="688" spans="5:5" x14ac:dyDescent="0.35">
      <c r="E688">
        <v>1350</v>
      </c>
    </row>
    <row r="690" spans="5:5" x14ac:dyDescent="0.35">
      <c r="E690" t="s">
        <v>392</v>
      </c>
    </row>
    <row r="692" spans="5:5" x14ac:dyDescent="0.35">
      <c r="E692" t="s">
        <v>396</v>
      </c>
    </row>
    <row r="693" spans="5:5" x14ac:dyDescent="0.35">
      <c r="E693">
        <v>0</v>
      </c>
    </row>
    <row r="694" spans="5:5" x14ac:dyDescent="0.35">
      <c r="E694">
        <v>700</v>
      </c>
    </row>
    <row r="696" spans="5:5" x14ac:dyDescent="0.35">
      <c r="E696" t="s">
        <v>398</v>
      </c>
    </row>
    <row r="697" spans="5:5" x14ac:dyDescent="0.35">
      <c r="E697">
        <v>1</v>
      </c>
    </row>
    <row r="698" spans="5:5" x14ac:dyDescent="0.35">
      <c r="E698">
        <v>1050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heet1.showform">
                <anchor moveWithCells="1" sizeWithCells="1">
                  <from>
                    <xdr:col>10</xdr:col>
                    <xdr:colOff>336550</xdr:colOff>
                    <xdr:row>5</xdr:row>
                    <xdr:rowOff>25400</xdr:rowOff>
                  </from>
                  <to>
                    <xdr:col>23</xdr:col>
                    <xdr:colOff>209550</xdr:colOff>
                    <xdr:row>21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2B947-0772-466B-9363-14392BA6C601}">
  <sheetPr codeName="Sheet17"/>
  <dimension ref="A1:AU5"/>
  <sheetViews>
    <sheetView workbookViewId="0">
      <selection activeCell="AP2" sqref="AP2"/>
    </sheetView>
  </sheetViews>
  <sheetFormatPr defaultRowHeight="14.5" x14ac:dyDescent="0.35"/>
  <cols>
    <col min="1" max="1" width="4.81640625" bestFit="1" customWidth="1"/>
    <col min="2" max="2" width="5.81640625" bestFit="1" customWidth="1"/>
    <col min="3" max="6" width="1.81640625" bestFit="1" customWidth="1"/>
    <col min="7" max="7" width="2.81640625" bestFit="1" customWidth="1"/>
    <col min="8" max="8" width="1.81640625" bestFit="1" customWidth="1"/>
    <col min="9" max="9" width="5.81640625" bestFit="1" customWidth="1"/>
    <col min="10" max="21" width="1.81640625" bestFit="1" customWidth="1"/>
    <col min="22" max="22" width="2.81640625" bestFit="1" customWidth="1"/>
    <col min="23" max="23" width="1.81640625" bestFit="1" customWidth="1"/>
    <col min="24" max="24" width="4.81640625" bestFit="1" customWidth="1"/>
    <col min="25" max="25" width="1.81640625" bestFit="1" customWidth="1"/>
    <col min="26" max="26" width="4.81640625" bestFit="1" customWidth="1"/>
    <col min="27" max="27" width="2.81640625" bestFit="1" customWidth="1"/>
    <col min="28" max="28" width="1.81640625" bestFit="1" customWidth="1"/>
    <col min="29" max="29" width="2.81640625" bestFit="1" customWidth="1"/>
    <col min="30" max="30" width="1.81640625" bestFit="1" customWidth="1"/>
    <col min="31" max="34" width="2.81640625" bestFit="1" customWidth="1"/>
    <col min="35" max="37" width="1.81640625" bestFit="1" customWidth="1"/>
    <col min="38" max="40" width="2.81640625" bestFit="1" customWidth="1"/>
    <col min="41" max="41" width="5.81640625" bestFit="1" customWidth="1"/>
    <col min="42" max="47" width="1.81640625" bestFit="1" customWidth="1"/>
  </cols>
  <sheetData>
    <row r="1" spans="1:47" x14ac:dyDescent="0.35">
      <c r="A1">
        <v>20</v>
      </c>
      <c r="B1">
        <v>4</v>
      </c>
      <c r="C1">
        <v>0</v>
      </c>
      <c r="D1">
        <v>0</v>
      </c>
      <c r="E1">
        <v>0</v>
      </c>
      <c r="F1">
        <v>0</v>
      </c>
      <c r="G1">
        <v>57</v>
      </c>
      <c r="H1">
        <v>0</v>
      </c>
      <c r="I1">
        <v>7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39</v>
      </c>
      <c r="W1">
        <v>1</v>
      </c>
      <c r="X1">
        <v>42</v>
      </c>
      <c r="Y1">
        <v>9</v>
      </c>
      <c r="Z1">
        <v>55</v>
      </c>
      <c r="AA1">
        <v>48</v>
      </c>
      <c r="AB1">
        <v>0</v>
      </c>
      <c r="AC1">
        <v>15</v>
      </c>
      <c r="AD1">
        <v>7</v>
      </c>
      <c r="AE1">
        <v>14</v>
      </c>
      <c r="AF1">
        <v>17</v>
      </c>
      <c r="AG1">
        <v>15</v>
      </c>
      <c r="AH1">
        <v>18</v>
      </c>
      <c r="AI1">
        <v>9</v>
      </c>
      <c r="AJ1">
        <v>8</v>
      </c>
      <c r="AK1">
        <v>0</v>
      </c>
      <c r="AL1">
        <v>81</v>
      </c>
      <c r="AM1">
        <v>85</v>
      </c>
      <c r="AN1">
        <v>83</v>
      </c>
      <c r="AO1">
        <v>30003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</row>
    <row r="2" spans="1:47" x14ac:dyDescent="0.35">
      <c r="A2">
        <v>8285</v>
      </c>
      <c r="B2">
        <v>20007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8282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8688</v>
      </c>
      <c r="Y2">
        <v>0</v>
      </c>
      <c r="Z2">
        <v>8588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</row>
    <row r="3" spans="1:47" x14ac:dyDescent="0.35">
      <c r="A3">
        <v>8488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8285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8383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</row>
    <row r="4" spans="1:47" x14ac:dyDescent="0.3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18181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8888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</row>
    <row r="5" spans="1:47" x14ac:dyDescent="0.35">
      <c r="A5">
        <v>1</v>
      </c>
      <c r="B5">
        <v>2</v>
      </c>
      <c r="C5">
        <v>0</v>
      </c>
      <c r="D5">
        <v>0</v>
      </c>
      <c r="E5">
        <v>0</v>
      </c>
      <c r="F5">
        <v>0</v>
      </c>
      <c r="G5">
        <v>2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2</v>
      </c>
      <c r="W5">
        <v>2</v>
      </c>
      <c r="X5">
        <v>2</v>
      </c>
      <c r="Y5">
        <v>2</v>
      </c>
      <c r="Z5">
        <v>2</v>
      </c>
      <c r="AA5">
        <v>2</v>
      </c>
      <c r="AB5">
        <v>0</v>
      </c>
      <c r="AC5">
        <v>1</v>
      </c>
      <c r="AD5">
        <v>1</v>
      </c>
      <c r="AE5">
        <v>1</v>
      </c>
      <c r="AF5">
        <v>1</v>
      </c>
      <c r="AG5">
        <v>1</v>
      </c>
      <c r="AH5">
        <v>2</v>
      </c>
      <c r="AI5">
        <v>1</v>
      </c>
      <c r="AJ5">
        <v>1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9B2-A2F9-4640-9D55-75F561538CA4}">
  <sheetPr codeName="Sheet14"/>
  <dimension ref="A1:CJ57"/>
  <sheetViews>
    <sheetView workbookViewId="0">
      <selection sqref="A1:A1048576"/>
    </sheetView>
  </sheetViews>
  <sheetFormatPr defaultRowHeight="14.5" x14ac:dyDescent="0.35"/>
  <sheetData>
    <row r="1" spans="1:88" x14ac:dyDescent="0.35">
      <c r="A1">
        <v>650</v>
      </c>
      <c r="B1">
        <v>800</v>
      </c>
      <c r="C1">
        <v>1650</v>
      </c>
      <c r="D1">
        <v>950</v>
      </c>
      <c r="E1">
        <v>1800</v>
      </c>
      <c r="F1">
        <v>2650</v>
      </c>
      <c r="G1">
        <v>1100</v>
      </c>
      <c r="H1">
        <v>1950</v>
      </c>
      <c r="I1">
        <v>2800</v>
      </c>
      <c r="J1">
        <v>3650</v>
      </c>
      <c r="K1">
        <v>1000</v>
      </c>
      <c r="L1">
        <v>1150</v>
      </c>
      <c r="M1">
        <v>2000</v>
      </c>
      <c r="N1">
        <v>1300</v>
      </c>
      <c r="O1">
        <v>2150</v>
      </c>
      <c r="P1">
        <v>3000</v>
      </c>
      <c r="Q1">
        <v>2450</v>
      </c>
      <c r="R1">
        <v>2600</v>
      </c>
      <c r="S1">
        <v>3450</v>
      </c>
      <c r="T1">
        <v>2750</v>
      </c>
      <c r="U1">
        <v>3600</v>
      </c>
      <c r="V1">
        <v>4450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</row>
    <row r="2" spans="1:88" x14ac:dyDescent="0.35">
      <c r="A2">
        <v>850</v>
      </c>
      <c r="B2">
        <v>1000</v>
      </c>
      <c r="C2">
        <v>1850</v>
      </c>
      <c r="D2">
        <v>1150</v>
      </c>
      <c r="E2">
        <v>2000</v>
      </c>
      <c r="F2">
        <v>2850</v>
      </c>
      <c r="G2">
        <v>1300</v>
      </c>
      <c r="H2">
        <v>2150</v>
      </c>
      <c r="I2">
        <v>3000</v>
      </c>
      <c r="J2">
        <v>3850</v>
      </c>
      <c r="K2">
        <v>1200</v>
      </c>
      <c r="L2">
        <v>1350</v>
      </c>
      <c r="M2">
        <v>2200</v>
      </c>
      <c r="N2">
        <v>1500</v>
      </c>
      <c r="O2">
        <v>2350</v>
      </c>
      <c r="P2">
        <v>3200</v>
      </c>
      <c r="Q2">
        <v>2650</v>
      </c>
      <c r="R2">
        <v>2800</v>
      </c>
      <c r="S2">
        <v>3650</v>
      </c>
      <c r="T2">
        <v>2950</v>
      </c>
      <c r="U2">
        <v>3800</v>
      </c>
      <c r="V2">
        <v>4650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</row>
    <row r="3" spans="1:88" x14ac:dyDescent="0.35">
      <c r="A3">
        <v>650</v>
      </c>
      <c r="B3">
        <v>800</v>
      </c>
      <c r="C3">
        <v>1650</v>
      </c>
      <c r="D3">
        <v>950</v>
      </c>
      <c r="E3">
        <v>1800</v>
      </c>
      <c r="F3">
        <v>2650</v>
      </c>
      <c r="G3">
        <v>1100</v>
      </c>
      <c r="H3">
        <v>1950</v>
      </c>
      <c r="I3">
        <v>2800</v>
      </c>
      <c r="J3">
        <v>3650</v>
      </c>
      <c r="K3">
        <v>1000</v>
      </c>
      <c r="L3">
        <v>1150</v>
      </c>
      <c r="M3">
        <v>2000</v>
      </c>
      <c r="N3">
        <v>1300</v>
      </c>
      <c r="O3">
        <v>2150</v>
      </c>
      <c r="P3">
        <v>3000</v>
      </c>
      <c r="Q3">
        <v>2450</v>
      </c>
      <c r="R3">
        <v>2600</v>
      </c>
      <c r="S3">
        <v>3450</v>
      </c>
      <c r="T3">
        <v>2750</v>
      </c>
      <c r="U3">
        <v>3600</v>
      </c>
      <c r="V3">
        <v>4450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</row>
    <row r="4" spans="1:88" x14ac:dyDescent="0.35">
      <c r="A4">
        <v>600</v>
      </c>
      <c r="B4">
        <v>750</v>
      </c>
      <c r="C4">
        <v>1600</v>
      </c>
      <c r="D4">
        <v>900</v>
      </c>
      <c r="E4">
        <v>1750</v>
      </c>
      <c r="F4">
        <v>2600</v>
      </c>
      <c r="G4">
        <v>1050</v>
      </c>
      <c r="H4">
        <v>1900</v>
      </c>
      <c r="I4">
        <v>2750</v>
      </c>
      <c r="J4">
        <v>3600</v>
      </c>
      <c r="K4">
        <v>950</v>
      </c>
      <c r="L4">
        <v>1100</v>
      </c>
      <c r="M4">
        <v>1950</v>
      </c>
      <c r="N4">
        <v>1250</v>
      </c>
      <c r="O4">
        <v>2100</v>
      </c>
      <c r="P4">
        <v>2950</v>
      </c>
      <c r="Q4">
        <v>2400</v>
      </c>
      <c r="R4">
        <v>2550</v>
      </c>
      <c r="S4">
        <v>3400</v>
      </c>
      <c r="T4">
        <v>2700</v>
      </c>
      <c r="U4">
        <v>3550</v>
      </c>
      <c r="V4">
        <v>4400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</row>
    <row r="5" spans="1:88" x14ac:dyDescent="0.35">
      <c r="A5">
        <v>600</v>
      </c>
      <c r="B5">
        <v>750</v>
      </c>
      <c r="C5">
        <v>1600</v>
      </c>
      <c r="D5">
        <v>900</v>
      </c>
      <c r="E5">
        <v>1750</v>
      </c>
      <c r="F5">
        <v>2600</v>
      </c>
      <c r="G5">
        <v>1050</v>
      </c>
      <c r="H5">
        <v>1900</v>
      </c>
      <c r="I5">
        <v>2750</v>
      </c>
      <c r="J5">
        <v>3600</v>
      </c>
      <c r="K5">
        <v>950</v>
      </c>
      <c r="L5">
        <v>1100</v>
      </c>
      <c r="M5">
        <v>1950</v>
      </c>
      <c r="N5">
        <v>1250</v>
      </c>
      <c r="O5">
        <v>2100</v>
      </c>
      <c r="P5">
        <v>2950</v>
      </c>
      <c r="Q5">
        <v>2400</v>
      </c>
      <c r="R5">
        <v>2550</v>
      </c>
      <c r="S5">
        <v>3400</v>
      </c>
      <c r="T5">
        <v>2700</v>
      </c>
      <c r="U5">
        <v>3550</v>
      </c>
      <c r="V5">
        <v>4400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</row>
    <row r="6" spans="1:88" x14ac:dyDescent="0.35">
      <c r="A6">
        <v>750</v>
      </c>
      <c r="B6">
        <v>900</v>
      </c>
      <c r="C6">
        <v>1750</v>
      </c>
      <c r="D6">
        <v>1050</v>
      </c>
      <c r="E6">
        <v>1900</v>
      </c>
      <c r="F6">
        <v>2750</v>
      </c>
      <c r="G6">
        <v>1200</v>
      </c>
      <c r="H6">
        <v>2050</v>
      </c>
      <c r="I6">
        <v>2900</v>
      </c>
      <c r="J6">
        <v>3750</v>
      </c>
      <c r="K6">
        <v>1100</v>
      </c>
      <c r="L6">
        <v>1250</v>
      </c>
      <c r="M6">
        <v>2100</v>
      </c>
      <c r="N6">
        <v>1400</v>
      </c>
      <c r="O6">
        <v>2250</v>
      </c>
      <c r="P6">
        <v>3100</v>
      </c>
      <c r="Q6">
        <v>2550</v>
      </c>
      <c r="R6">
        <v>2700</v>
      </c>
      <c r="S6">
        <v>3550</v>
      </c>
      <c r="T6">
        <v>2850</v>
      </c>
      <c r="U6">
        <v>3700</v>
      </c>
      <c r="V6">
        <v>4550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</row>
    <row r="7" spans="1:88" x14ac:dyDescent="0.35">
      <c r="A7">
        <v>700</v>
      </c>
      <c r="B7">
        <v>850</v>
      </c>
      <c r="C7">
        <v>1700</v>
      </c>
      <c r="D7">
        <v>1000</v>
      </c>
      <c r="E7">
        <v>1850</v>
      </c>
      <c r="F7">
        <v>2700</v>
      </c>
      <c r="G7">
        <v>1150</v>
      </c>
      <c r="H7">
        <v>2000</v>
      </c>
      <c r="I7">
        <v>2850</v>
      </c>
      <c r="J7">
        <v>3700</v>
      </c>
      <c r="K7">
        <v>1050</v>
      </c>
      <c r="L7">
        <v>1200</v>
      </c>
      <c r="M7">
        <v>2050</v>
      </c>
      <c r="N7">
        <v>1350</v>
      </c>
      <c r="O7">
        <v>2200</v>
      </c>
      <c r="P7">
        <v>3050</v>
      </c>
      <c r="Q7">
        <v>2500</v>
      </c>
      <c r="R7">
        <v>2650</v>
      </c>
      <c r="S7">
        <v>3500</v>
      </c>
      <c r="T7">
        <v>2800</v>
      </c>
      <c r="U7">
        <v>3650</v>
      </c>
      <c r="V7">
        <v>4500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</row>
    <row r="8" spans="1:88" x14ac:dyDescent="0.35">
      <c r="A8">
        <v>800</v>
      </c>
      <c r="B8">
        <v>950</v>
      </c>
      <c r="C8">
        <v>1800</v>
      </c>
      <c r="D8">
        <v>1100</v>
      </c>
      <c r="E8">
        <v>1950</v>
      </c>
      <c r="F8">
        <v>2800</v>
      </c>
      <c r="G8">
        <v>1250</v>
      </c>
      <c r="H8">
        <v>2100</v>
      </c>
      <c r="I8">
        <v>2950</v>
      </c>
      <c r="J8">
        <v>3800</v>
      </c>
      <c r="K8">
        <v>1150</v>
      </c>
      <c r="L8">
        <v>1300</v>
      </c>
      <c r="M8">
        <v>2150</v>
      </c>
      <c r="N8">
        <v>1450</v>
      </c>
      <c r="O8">
        <v>2300</v>
      </c>
      <c r="P8">
        <v>3150</v>
      </c>
      <c r="Q8">
        <v>2600</v>
      </c>
      <c r="R8">
        <v>2750</v>
      </c>
      <c r="S8">
        <v>3600</v>
      </c>
      <c r="T8">
        <v>2900</v>
      </c>
      <c r="U8">
        <v>3750</v>
      </c>
      <c r="V8">
        <v>4600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</row>
    <row r="9" spans="1:88" x14ac:dyDescent="0.35">
      <c r="A9">
        <v>1000</v>
      </c>
      <c r="B9">
        <v>1150</v>
      </c>
      <c r="C9">
        <v>2000</v>
      </c>
      <c r="D9">
        <v>1300</v>
      </c>
      <c r="E9">
        <v>2150</v>
      </c>
      <c r="F9">
        <v>3000</v>
      </c>
      <c r="G9">
        <v>1450</v>
      </c>
      <c r="H9">
        <v>2300</v>
      </c>
      <c r="I9">
        <v>3150</v>
      </c>
      <c r="J9">
        <v>4000</v>
      </c>
      <c r="K9">
        <v>1350</v>
      </c>
      <c r="L9">
        <v>1500</v>
      </c>
      <c r="M9">
        <v>2350</v>
      </c>
      <c r="N9">
        <v>1650</v>
      </c>
      <c r="O9">
        <v>2500</v>
      </c>
      <c r="P9">
        <v>3350</v>
      </c>
      <c r="Q9">
        <v>2800</v>
      </c>
      <c r="R9">
        <v>2950</v>
      </c>
      <c r="S9">
        <v>3800</v>
      </c>
      <c r="T9">
        <v>3100</v>
      </c>
      <c r="U9">
        <v>3950</v>
      </c>
      <c r="V9">
        <v>4800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</row>
    <row r="10" spans="1:88" x14ac:dyDescent="0.35">
      <c r="A10">
        <v>1050</v>
      </c>
      <c r="B10">
        <v>1200</v>
      </c>
      <c r="C10">
        <v>2050</v>
      </c>
      <c r="D10">
        <v>1350</v>
      </c>
      <c r="E10">
        <v>2200</v>
      </c>
      <c r="F10">
        <v>3050</v>
      </c>
      <c r="G10">
        <v>1500</v>
      </c>
      <c r="H10">
        <v>2350</v>
      </c>
      <c r="I10">
        <v>3200</v>
      </c>
      <c r="J10">
        <v>4050</v>
      </c>
      <c r="K10">
        <v>1400</v>
      </c>
      <c r="L10">
        <v>1550</v>
      </c>
      <c r="M10">
        <v>2400</v>
      </c>
      <c r="N10">
        <v>1700</v>
      </c>
      <c r="O10">
        <v>2550</v>
      </c>
      <c r="P10">
        <v>3400</v>
      </c>
      <c r="Q10">
        <v>2850</v>
      </c>
      <c r="R10">
        <v>3000</v>
      </c>
      <c r="S10">
        <v>3850</v>
      </c>
      <c r="T10">
        <v>3150</v>
      </c>
      <c r="U10">
        <v>4000</v>
      </c>
      <c r="V10">
        <v>4850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</row>
    <row r="11" spans="1:88" x14ac:dyDescent="0.35">
      <c r="A11">
        <v>750</v>
      </c>
      <c r="B11">
        <v>900</v>
      </c>
      <c r="C11">
        <v>1750</v>
      </c>
      <c r="D11">
        <v>1050</v>
      </c>
      <c r="E11">
        <v>1900</v>
      </c>
      <c r="F11">
        <v>2750</v>
      </c>
      <c r="G11">
        <v>1200</v>
      </c>
      <c r="H11">
        <v>2050</v>
      </c>
      <c r="I11">
        <v>2900</v>
      </c>
      <c r="J11">
        <v>3750</v>
      </c>
      <c r="K11">
        <v>1100</v>
      </c>
      <c r="L11">
        <v>1250</v>
      </c>
      <c r="M11">
        <v>2100</v>
      </c>
      <c r="N11">
        <v>1400</v>
      </c>
      <c r="O11">
        <v>2250</v>
      </c>
      <c r="P11">
        <v>3100</v>
      </c>
      <c r="Q11">
        <v>2550</v>
      </c>
      <c r="R11">
        <v>2700</v>
      </c>
      <c r="S11">
        <v>3550</v>
      </c>
      <c r="T11">
        <v>2850</v>
      </c>
      <c r="U11">
        <v>3700</v>
      </c>
      <c r="V11">
        <v>4550</v>
      </c>
      <c r="W11">
        <v>1150</v>
      </c>
      <c r="X11">
        <v>1300</v>
      </c>
      <c r="Y11">
        <v>2150</v>
      </c>
      <c r="Z11">
        <v>1450</v>
      </c>
      <c r="AA11">
        <v>2300</v>
      </c>
      <c r="AB11">
        <v>3150</v>
      </c>
      <c r="AC11">
        <v>1600</v>
      </c>
      <c r="AD11">
        <v>2450</v>
      </c>
      <c r="AE11">
        <v>3300</v>
      </c>
      <c r="AF11">
        <v>4150</v>
      </c>
      <c r="AG11">
        <v>1500</v>
      </c>
      <c r="AH11">
        <v>1650</v>
      </c>
      <c r="AI11">
        <v>2500</v>
      </c>
      <c r="AJ11">
        <v>1800</v>
      </c>
      <c r="AK11">
        <v>2650</v>
      </c>
      <c r="AL11">
        <v>3500</v>
      </c>
      <c r="AM11">
        <v>2950</v>
      </c>
      <c r="AN11">
        <v>3100</v>
      </c>
      <c r="AO11">
        <v>3950</v>
      </c>
      <c r="AP11">
        <v>3250</v>
      </c>
      <c r="AQ11">
        <v>4100</v>
      </c>
      <c r="AR11">
        <v>4950</v>
      </c>
      <c r="AS11">
        <v>1750</v>
      </c>
      <c r="AT11">
        <v>1900</v>
      </c>
      <c r="AU11">
        <v>2750</v>
      </c>
      <c r="AV11">
        <v>2050</v>
      </c>
      <c r="AW11">
        <v>2900</v>
      </c>
      <c r="AX11">
        <v>3750</v>
      </c>
      <c r="AY11">
        <v>2200</v>
      </c>
      <c r="AZ11">
        <v>3050</v>
      </c>
      <c r="BA11">
        <v>3900</v>
      </c>
      <c r="BB11">
        <v>4750</v>
      </c>
      <c r="BC11">
        <v>2100</v>
      </c>
      <c r="BD11">
        <v>2250</v>
      </c>
      <c r="BE11">
        <v>3100</v>
      </c>
      <c r="BF11">
        <v>2400</v>
      </c>
      <c r="BG11">
        <v>3250</v>
      </c>
      <c r="BH11">
        <v>4100</v>
      </c>
      <c r="BI11">
        <v>3550</v>
      </c>
      <c r="BJ11">
        <v>3700</v>
      </c>
      <c r="BK11">
        <v>4550</v>
      </c>
      <c r="BL11">
        <v>3850</v>
      </c>
      <c r="BM11">
        <v>4700</v>
      </c>
      <c r="BN11">
        <v>5550</v>
      </c>
      <c r="BO11">
        <v>2350</v>
      </c>
      <c r="BP11">
        <v>2500</v>
      </c>
      <c r="BQ11">
        <v>3350</v>
      </c>
      <c r="BR11">
        <v>2650</v>
      </c>
      <c r="BS11">
        <v>3500</v>
      </c>
      <c r="BT11">
        <v>4350</v>
      </c>
      <c r="BU11">
        <v>2800</v>
      </c>
      <c r="BV11">
        <v>3650</v>
      </c>
      <c r="BW11">
        <v>4500</v>
      </c>
      <c r="BX11">
        <v>5350</v>
      </c>
      <c r="BY11">
        <v>2700</v>
      </c>
      <c r="BZ11">
        <v>2850</v>
      </c>
      <c r="CA11">
        <v>3700</v>
      </c>
      <c r="CB11">
        <v>3000</v>
      </c>
      <c r="CC11">
        <v>3850</v>
      </c>
      <c r="CD11">
        <v>4700</v>
      </c>
      <c r="CE11">
        <v>4150</v>
      </c>
      <c r="CF11">
        <v>4300</v>
      </c>
      <c r="CG11">
        <v>5150</v>
      </c>
      <c r="CH11">
        <v>4450</v>
      </c>
      <c r="CI11">
        <v>5300</v>
      </c>
      <c r="CJ11">
        <v>6150</v>
      </c>
    </row>
    <row r="12" spans="1:88" x14ac:dyDescent="0.35">
      <c r="A12">
        <v>950</v>
      </c>
      <c r="B12">
        <v>1100</v>
      </c>
      <c r="C12">
        <v>1950</v>
      </c>
      <c r="D12">
        <v>1250</v>
      </c>
      <c r="E12">
        <v>2100</v>
      </c>
      <c r="F12">
        <v>2950</v>
      </c>
      <c r="G12">
        <v>1400</v>
      </c>
      <c r="H12">
        <v>2250</v>
      </c>
      <c r="I12">
        <v>3100</v>
      </c>
      <c r="J12">
        <v>3950</v>
      </c>
      <c r="K12">
        <v>1300</v>
      </c>
      <c r="L12">
        <v>1450</v>
      </c>
      <c r="M12">
        <v>2300</v>
      </c>
      <c r="N12">
        <v>1600</v>
      </c>
      <c r="O12">
        <v>2450</v>
      </c>
      <c r="P12">
        <v>3300</v>
      </c>
      <c r="Q12">
        <v>2750</v>
      </c>
      <c r="R12">
        <v>2900</v>
      </c>
      <c r="S12">
        <v>3750</v>
      </c>
      <c r="T12">
        <v>3050</v>
      </c>
      <c r="U12">
        <v>3900</v>
      </c>
      <c r="V12">
        <v>4750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</row>
    <row r="13" spans="1:88" x14ac:dyDescent="0.35">
      <c r="A13">
        <v>750</v>
      </c>
      <c r="B13">
        <v>900</v>
      </c>
      <c r="C13">
        <v>1750</v>
      </c>
      <c r="D13">
        <v>1050</v>
      </c>
      <c r="E13">
        <v>1900</v>
      </c>
      <c r="F13">
        <v>2750</v>
      </c>
      <c r="G13">
        <v>1200</v>
      </c>
      <c r="H13">
        <v>2050</v>
      </c>
      <c r="I13">
        <v>2900</v>
      </c>
      <c r="J13">
        <v>3750</v>
      </c>
      <c r="K13">
        <v>1100</v>
      </c>
      <c r="L13">
        <v>1250</v>
      </c>
      <c r="M13">
        <v>2100</v>
      </c>
      <c r="N13">
        <v>1400</v>
      </c>
      <c r="O13">
        <v>2250</v>
      </c>
      <c r="P13">
        <v>3100</v>
      </c>
      <c r="Q13">
        <v>2550</v>
      </c>
      <c r="R13">
        <v>2700</v>
      </c>
      <c r="S13">
        <v>3550</v>
      </c>
      <c r="T13">
        <v>2850</v>
      </c>
      <c r="U13">
        <v>3700</v>
      </c>
      <c r="V13">
        <v>4550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</row>
    <row r="14" spans="1:88" x14ac:dyDescent="0.35">
      <c r="A14">
        <v>800</v>
      </c>
      <c r="B14">
        <v>950</v>
      </c>
      <c r="C14">
        <v>1800</v>
      </c>
      <c r="D14">
        <v>1100</v>
      </c>
      <c r="E14">
        <v>1950</v>
      </c>
      <c r="F14">
        <v>2800</v>
      </c>
      <c r="G14">
        <v>1250</v>
      </c>
      <c r="H14">
        <v>2100</v>
      </c>
      <c r="I14">
        <v>2950</v>
      </c>
      <c r="J14">
        <v>3800</v>
      </c>
      <c r="K14">
        <v>1150</v>
      </c>
      <c r="L14">
        <v>1300</v>
      </c>
      <c r="M14">
        <v>2150</v>
      </c>
      <c r="N14">
        <v>1450</v>
      </c>
      <c r="O14">
        <v>2300</v>
      </c>
      <c r="P14">
        <v>3150</v>
      </c>
      <c r="Q14">
        <v>2600</v>
      </c>
      <c r="R14">
        <v>2750</v>
      </c>
      <c r="S14">
        <v>3600</v>
      </c>
      <c r="T14">
        <v>2900</v>
      </c>
      <c r="U14">
        <v>3750</v>
      </c>
      <c r="V14">
        <v>4600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</row>
    <row r="15" spans="1:88" x14ac:dyDescent="0.35">
      <c r="A15">
        <v>750</v>
      </c>
      <c r="B15">
        <v>900</v>
      </c>
      <c r="C15">
        <v>1750</v>
      </c>
      <c r="D15">
        <v>1050</v>
      </c>
      <c r="E15">
        <v>1900</v>
      </c>
      <c r="F15">
        <v>2750</v>
      </c>
      <c r="G15">
        <v>1200</v>
      </c>
      <c r="H15">
        <v>2050</v>
      </c>
      <c r="I15">
        <v>2900</v>
      </c>
      <c r="J15">
        <v>3750</v>
      </c>
      <c r="K15">
        <v>1100</v>
      </c>
      <c r="L15">
        <v>1250</v>
      </c>
      <c r="M15">
        <v>2100</v>
      </c>
      <c r="N15">
        <v>1400</v>
      </c>
      <c r="O15">
        <v>2250</v>
      </c>
      <c r="P15">
        <v>3100</v>
      </c>
      <c r="Q15">
        <v>2550</v>
      </c>
      <c r="R15">
        <v>2700</v>
      </c>
      <c r="S15">
        <v>3550</v>
      </c>
      <c r="T15">
        <v>2850</v>
      </c>
      <c r="U15">
        <v>3700</v>
      </c>
      <c r="V15">
        <v>4550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</row>
    <row r="16" spans="1:88" x14ac:dyDescent="0.35">
      <c r="A16">
        <v>950</v>
      </c>
      <c r="B16">
        <v>1100</v>
      </c>
      <c r="C16">
        <v>1950</v>
      </c>
      <c r="D16">
        <v>1250</v>
      </c>
      <c r="E16">
        <v>2100</v>
      </c>
      <c r="F16">
        <v>2950</v>
      </c>
      <c r="G16">
        <v>1400</v>
      </c>
      <c r="H16">
        <v>2250</v>
      </c>
      <c r="I16">
        <v>3100</v>
      </c>
      <c r="J16">
        <v>3950</v>
      </c>
      <c r="K16">
        <v>1300</v>
      </c>
      <c r="L16">
        <v>1450</v>
      </c>
      <c r="M16">
        <v>2300</v>
      </c>
      <c r="N16">
        <v>1600</v>
      </c>
      <c r="O16">
        <v>2450</v>
      </c>
      <c r="P16">
        <v>3300</v>
      </c>
      <c r="Q16">
        <v>2750</v>
      </c>
      <c r="R16">
        <v>2900</v>
      </c>
      <c r="S16">
        <v>3750</v>
      </c>
      <c r="T16">
        <v>3050</v>
      </c>
      <c r="U16">
        <v>3900</v>
      </c>
      <c r="V16">
        <v>4750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</row>
    <row r="17" spans="1:88" x14ac:dyDescent="0.35">
      <c r="A17">
        <v>950</v>
      </c>
      <c r="B17">
        <v>1100</v>
      </c>
      <c r="C17">
        <v>1950</v>
      </c>
      <c r="D17">
        <v>1250</v>
      </c>
      <c r="E17">
        <v>2100</v>
      </c>
      <c r="F17">
        <v>2950</v>
      </c>
      <c r="G17">
        <v>1400</v>
      </c>
      <c r="H17">
        <v>2250</v>
      </c>
      <c r="I17">
        <v>3100</v>
      </c>
      <c r="J17">
        <v>3950</v>
      </c>
      <c r="K17">
        <v>1300</v>
      </c>
      <c r="L17">
        <v>1450</v>
      </c>
      <c r="M17">
        <v>2300</v>
      </c>
      <c r="N17">
        <v>1600</v>
      </c>
      <c r="O17">
        <v>2450</v>
      </c>
      <c r="P17">
        <v>3300</v>
      </c>
      <c r="Q17">
        <v>2750</v>
      </c>
      <c r="R17">
        <v>2900</v>
      </c>
      <c r="S17">
        <v>3750</v>
      </c>
      <c r="T17">
        <v>3050</v>
      </c>
      <c r="U17">
        <v>3900</v>
      </c>
      <c r="V17">
        <v>4750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</row>
    <row r="18" spans="1:88" x14ac:dyDescent="0.35">
      <c r="A18">
        <v>500</v>
      </c>
      <c r="B18">
        <v>650</v>
      </c>
      <c r="C18">
        <v>1500</v>
      </c>
      <c r="D18">
        <v>800</v>
      </c>
      <c r="E18">
        <v>1650</v>
      </c>
      <c r="F18">
        <v>2500</v>
      </c>
      <c r="G18">
        <v>950</v>
      </c>
      <c r="H18">
        <v>1800</v>
      </c>
      <c r="I18">
        <v>2650</v>
      </c>
      <c r="J18">
        <v>3500</v>
      </c>
      <c r="K18">
        <v>850</v>
      </c>
      <c r="L18">
        <v>1000</v>
      </c>
      <c r="M18">
        <v>1850</v>
      </c>
      <c r="N18">
        <v>1150</v>
      </c>
      <c r="O18">
        <v>2000</v>
      </c>
      <c r="P18">
        <v>2850</v>
      </c>
      <c r="Q18">
        <v>2300</v>
      </c>
      <c r="R18">
        <v>2450</v>
      </c>
      <c r="S18">
        <v>3300</v>
      </c>
      <c r="T18">
        <v>2600</v>
      </c>
      <c r="U18">
        <v>3450</v>
      </c>
      <c r="V18">
        <v>4300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</row>
    <row r="19" spans="1:88" x14ac:dyDescent="0.35">
      <c r="A19">
        <v>700</v>
      </c>
      <c r="B19">
        <v>850</v>
      </c>
      <c r="C19">
        <v>1700</v>
      </c>
      <c r="D19">
        <v>1000</v>
      </c>
      <c r="E19">
        <v>1850</v>
      </c>
      <c r="F19">
        <v>2700</v>
      </c>
      <c r="G19">
        <v>1150</v>
      </c>
      <c r="H19">
        <v>2000</v>
      </c>
      <c r="I19">
        <v>2850</v>
      </c>
      <c r="J19">
        <v>3700</v>
      </c>
      <c r="K19">
        <v>1050</v>
      </c>
      <c r="L19">
        <v>1200</v>
      </c>
      <c r="M19">
        <v>2050</v>
      </c>
      <c r="N19">
        <v>1350</v>
      </c>
      <c r="O19">
        <v>2200</v>
      </c>
      <c r="P19">
        <v>3050</v>
      </c>
      <c r="Q19">
        <v>2500</v>
      </c>
      <c r="R19">
        <v>2650</v>
      </c>
      <c r="S19">
        <v>3500</v>
      </c>
      <c r="T19">
        <v>2800</v>
      </c>
      <c r="U19">
        <v>3650</v>
      </c>
      <c r="V19">
        <v>4500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</row>
    <row r="20" spans="1:88" x14ac:dyDescent="0.35">
      <c r="A20">
        <v>800</v>
      </c>
      <c r="B20">
        <v>950</v>
      </c>
      <c r="C20">
        <v>1800</v>
      </c>
      <c r="D20">
        <v>1100</v>
      </c>
      <c r="E20">
        <v>1950</v>
      </c>
      <c r="F20">
        <v>2800</v>
      </c>
      <c r="G20">
        <v>1250</v>
      </c>
      <c r="H20">
        <v>2100</v>
      </c>
      <c r="I20">
        <v>2950</v>
      </c>
      <c r="J20">
        <v>3800</v>
      </c>
      <c r="K20">
        <v>1150</v>
      </c>
      <c r="L20">
        <v>1300</v>
      </c>
      <c r="M20">
        <v>2150</v>
      </c>
      <c r="N20">
        <v>1450</v>
      </c>
      <c r="O20">
        <v>2300</v>
      </c>
      <c r="P20">
        <v>3150</v>
      </c>
      <c r="Q20">
        <v>2600</v>
      </c>
      <c r="R20">
        <v>2750</v>
      </c>
      <c r="S20">
        <v>3600</v>
      </c>
      <c r="T20">
        <v>2900</v>
      </c>
      <c r="U20">
        <v>3750</v>
      </c>
      <c r="V20">
        <v>4600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</row>
    <row r="21" spans="1:88" x14ac:dyDescent="0.35">
      <c r="A21">
        <v>600</v>
      </c>
      <c r="B21">
        <v>750</v>
      </c>
      <c r="C21">
        <v>1600</v>
      </c>
      <c r="D21">
        <v>900</v>
      </c>
      <c r="E21">
        <v>1750</v>
      </c>
      <c r="F21">
        <v>2600</v>
      </c>
      <c r="G21">
        <v>1050</v>
      </c>
      <c r="H21">
        <v>1900</v>
      </c>
      <c r="I21">
        <v>2750</v>
      </c>
      <c r="J21">
        <v>3600</v>
      </c>
      <c r="K21">
        <v>950</v>
      </c>
      <c r="L21">
        <v>1100</v>
      </c>
      <c r="M21">
        <v>1950</v>
      </c>
      <c r="N21">
        <v>1250</v>
      </c>
      <c r="O21">
        <v>2100</v>
      </c>
      <c r="P21">
        <v>2950</v>
      </c>
      <c r="Q21">
        <v>2400</v>
      </c>
      <c r="R21">
        <v>2550</v>
      </c>
      <c r="S21">
        <v>3400</v>
      </c>
      <c r="T21">
        <v>2700</v>
      </c>
      <c r="U21">
        <v>3550</v>
      </c>
      <c r="V21">
        <v>4400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</row>
    <row r="22" spans="1:88" x14ac:dyDescent="0.35">
      <c r="A22">
        <v>500</v>
      </c>
      <c r="B22">
        <v>650</v>
      </c>
      <c r="C22">
        <v>1500</v>
      </c>
      <c r="D22">
        <v>800</v>
      </c>
      <c r="E22">
        <v>1650</v>
      </c>
      <c r="F22">
        <v>2500</v>
      </c>
      <c r="G22">
        <v>950</v>
      </c>
      <c r="H22">
        <v>1800</v>
      </c>
      <c r="I22">
        <v>2650</v>
      </c>
      <c r="J22">
        <v>3500</v>
      </c>
      <c r="K22">
        <v>850</v>
      </c>
      <c r="L22">
        <v>1000</v>
      </c>
      <c r="M22">
        <v>1850</v>
      </c>
      <c r="N22">
        <v>1150</v>
      </c>
      <c r="O22">
        <v>2000</v>
      </c>
      <c r="P22">
        <v>2850</v>
      </c>
      <c r="Q22">
        <v>2300</v>
      </c>
      <c r="R22">
        <v>2450</v>
      </c>
      <c r="S22">
        <v>3300</v>
      </c>
      <c r="T22">
        <v>2600</v>
      </c>
      <c r="U22">
        <v>3450</v>
      </c>
      <c r="V22">
        <v>4300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</row>
    <row r="23" spans="1:88" x14ac:dyDescent="0.35">
      <c r="A23">
        <v>400</v>
      </c>
      <c r="B23">
        <v>550</v>
      </c>
      <c r="C23">
        <v>1400</v>
      </c>
      <c r="D23">
        <v>700</v>
      </c>
      <c r="E23">
        <v>1550</v>
      </c>
      <c r="F23">
        <v>2400</v>
      </c>
      <c r="G23">
        <v>850</v>
      </c>
      <c r="H23">
        <v>1700</v>
      </c>
      <c r="I23">
        <v>2550</v>
      </c>
      <c r="J23">
        <v>3400</v>
      </c>
      <c r="K23">
        <v>750</v>
      </c>
      <c r="L23">
        <v>900</v>
      </c>
      <c r="M23">
        <v>1750</v>
      </c>
      <c r="N23">
        <v>1050</v>
      </c>
      <c r="O23">
        <v>1900</v>
      </c>
      <c r="P23">
        <v>2750</v>
      </c>
      <c r="Q23">
        <v>2200</v>
      </c>
      <c r="R23">
        <v>2350</v>
      </c>
      <c r="S23">
        <v>3200</v>
      </c>
      <c r="T23">
        <v>2500</v>
      </c>
      <c r="U23">
        <v>3350</v>
      </c>
      <c r="V23">
        <v>4200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</row>
    <row r="24" spans="1:88" x14ac:dyDescent="0.35">
      <c r="A24">
        <v>800</v>
      </c>
      <c r="B24">
        <v>950</v>
      </c>
      <c r="C24">
        <v>1800</v>
      </c>
      <c r="D24">
        <v>1100</v>
      </c>
      <c r="E24">
        <v>1950</v>
      </c>
      <c r="F24">
        <v>2800</v>
      </c>
      <c r="G24">
        <v>1250</v>
      </c>
      <c r="H24">
        <v>2100</v>
      </c>
      <c r="I24">
        <v>2950</v>
      </c>
      <c r="J24">
        <v>3800</v>
      </c>
      <c r="K24">
        <v>1150</v>
      </c>
      <c r="L24">
        <v>1300</v>
      </c>
      <c r="M24">
        <v>2150</v>
      </c>
      <c r="N24">
        <v>1450</v>
      </c>
      <c r="O24">
        <v>2300</v>
      </c>
      <c r="P24">
        <v>3150</v>
      </c>
      <c r="Q24">
        <v>2600</v>
      </c>
      <c r="R24">
        <v>2750</v>
      </c>
      <c r="S24">
        <v>3600</v>
      </c>
      <c r="T24">
        <v>2900</v>
      </c>
      <c r="U24">
        <v>3750</v>
      </c>
      <c r="V24">
        <v>4600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</row>
    <row r="25" spans="1:88" x14ac:dyDescent="0.35">
      <c r="A25">
        <v>700</v>
      </c>
      <c r="B25">
        <v>850</v>
      </c>
      <c r="C25">
        <v>1700</v>
      </c>
      <c r="D25">
        <v>1000</v>
      </c>
      <c r="E25">
        <v>1850</v>
      </c>
      <c r="F25">
        <v>2700</v>
      </c>
      <c r="G25">
        <v>1150</v>
      </c>
      <c r="H25">
        <v>2000</v>
      </c>
      <c r="I25">
        <v>2850</v>
      </c>
      <c r="J25">
        <v>3700</v>
      </c>
      <c r="K25">
        <v>1050</v>
      </c>
      <c r="L25">
        <v>1200</v>
      </c>
      <c r="M25">
        <v>2050</v>
      </c>
      <c r="N25">
        <v>1350</v>
      </c>
      <c r="O25">
        <v>2200</v>
      </c>
      <c r="P25">
        <v>3050</v>
      </c>
      <c r="Q25">
        <v>2500</v>
      </c>
      <c r="R25">
        <v>2650</v>
      </c>
      <c r="S25">
        <v>3500</v>
      </c>
      <c r="T25">
        <v>2800</v>
      </c>
      <c r="U25">
        <v>3650</v>
      </c>
      <c r="V25">
        <v>4500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</row>
    <row r="26" spans="1:88" x14ac:dyDescent="0.35">
      <c r="A26">
        <v>700</v>
      </c>
      <c r="B26">
        <v>850</v>
      </c>
      <c r="C26">
        <v>1700</v>
      </c>
      <c r="D26">
        <v>1000</v>
      </c>
      <c r="E26">
        <v>1850</v>
      </c>
      <c r="F26">
        <v>2700</v>
      </c>
      <c r="G26">
        <v>1150</v>
      </c>
      <c r="H26">
        <v>2000</v>
      </c>
      <c r="I26">
        <v>2850</v>
      </c>
      <c r="J26">
        <v>3700</v>
      </c>
      <c r="K26">
        <v>1050</v>
      </c>
      <c r="L26">
        <v>1200</v>
      </c>
      <c r="M26">
        <v>2050</v>
      </c>
      <c r="N26">
        <v>1350</v>
      </c>
      <c r="O26">
        <v>2200</v>
      </c>
      <c r="P26">
        <v>3050</v>
      </c>
      <c r="Q26">
        <v>2500</v>
      </c>
      <c r="R26">
        <v>2650</v>
      </c>
      <c r="S26">
        <v>3500</v>
      </c>
      <c r="T26">
        <v>2800</v>
      </c>
      <c r="U26">
        <v>3650</v>
      </c>
      <c r="V26">
        <v>4500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</row>
    <row r="27" spans="1:88" x14ac:dyDescent="0.35">
      <c r="A27">
        <v>650</v>
      </c>
      <c r="B27">
        <v>800</v>
      </c>
      <c r="C27">
        <v>1650</v>
      </c>
      <c r="D27">
        <v>950</v>
      </c>
      <c r="E27">
        <v>1800</v>
      </c>
      <c r="F27">
        <v>2650</v>
      </c>
      <c r="G27">
        <v>1100</v>
      </c>
      <c r="H27">
        <v>1950</v>
      </c>
      <c r="I27">
        <v>2800</v>
      </c>
      <c r="J27">
        <v>3650</v>
      </c>
      <c r="K27">
        <v>1000</v>
      </c>
      <c r="L27">
        <v>1150</v>
      </c>
      <c r="M27">
        <v>2000</v>
      </c>
      <c r="N27">
        <v>1300</v>
      </c>
      <c r="O27">
        <v>2150</v>
      </c>
      <c r="P27">
        <v>3000</v>
      </c>
      <c r="Q27">
        <v>2450</v>
      </c>
      <c r="R27">
        <v>2600</v>
      </c>
      <c r="S27">
        <v>3450</v>
      </c>
      <c r="T27">
        <v>2750</v>
      </c>
      <c r="U27">
        <v>3600</v>
      </c>
      <c r="V27">
        <v>4450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</row>
    <row r="28" spans="1:88" x14ac:dyDescent="0.35">
      <c r="A28">
        <v>600</v>
      </c>
      <c r="B28">
        <v>750</v>
      </c>
      <c r="C28">
        <v>1600</v>
      </c>
      <c r="D28">
        <v>900</v>
      </c>
      <c r="E28">
        <v>1750</v>
      </c>
      <c r="F28">
        <v>2600</v>
      </c>
      <c r="G28">
        <v>1050</v>
      </c>
      <c r="H28">
        <v>1900</v>
      </c>
      <c r="I28">
        <v>2750</v>
      </c>
      <c r="J28">
        <v>3600</v>
      </c>
      <c r="K28">
        <v>950</v>
      </c>
      <c r="L28">
        <v>1100</v>
      </c>
      <c r="M28">
        <v>1950</v>
      </c>
      <c r="N28">
        <v>1250</v>
      </c>
      <c r="O28">
        <v>2100</v>
      </c>
      <c r="P28">
        <v>2950</v>
      </c>
      <c r="Q28">
        <v>2400</v>
      </c>
      <c r="R28">
        <v>2550</v>
      </c>
      <c r="S28">
        <v>3400</v>
      </c>
      <c r="T28">
        <v>2700</v>
      </c>
      <c r="U28">
        <v>3550</v>
      </c>
      <c r="V28">
        <v>4400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</row>
    <row r="29" spans="1:88" x14ac:dyDescent="0.35">
      <c r="A29">
        <v>700</v>
      </c>
      <c r="B29">
        <v>850</v>
      </c>
      <c r="C29">
        <v>1700</v>
      </c>
      <c r="D29">
        <v>1000</v>
      </c>
      <c r="E29">
        <v>1850</v>
      </c>
      <c r="F29">
        <v>2700</v>
      </c>
      <c r="G29">
        <v>1150</v>
      </c>
      <c r="H29">
        <v>2000</v>
      </c>
      <c r="I29">
        <v>2850</v>
      </c>
      <c r="J29">
        <v>3700</v>
      </c>
      <c r="K29">
        <v>1050</v>
      </c>
      <c r="L29">
        <v>1200</v>
      </c>
      <c r="M29">
        <v>2050</v>
      </c>
      <c r="N29">
        <v>1350</v>
      </c>
      <c r="O29">
        <v>2200</v>
      </c>
      <c r="P29">
        <v>3050</v>
      </c>
      <c r="Q29">
        <v>2500</v>
      </c>
      <c r="R29">
        <v>2650</v>
      </c>
      <c r="S29">
        <v>3500</v>
      </c>
      <c r="T29">
        <v>2800</v>
      </c>
      <c r="U29">
        <v>3650</v>
      </c>
      <c r="V29">
        <v>4500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</row>
    <row r="30" spans="1:88" x14ac:dyDescent="0.35">
      <c r="A30">
        <v>750</v>
      </c>
      <c r="B30">
        <v>900</v>
      </c>
      <c r="C30">
        <v>1750</v>
      </c>
      <c r="D30">
        <v>1050</v>
      </c>
      <c r="E30">
        <v>1900</v>
      </c>
      <c r="F30">
        <v>2750</v>
      </c>
      <c r="G30">
        <v>1200</v>
      </c>
      <c r="H30">
        <v>2050</v>
      </c>
      <c r="I30">
        <v>2900</v>
      </c>
      <c r="J30">
        <v>3750</v>
      </c>
      <c r="K30">
        <v>1100</v>
      </c>
      <c r="L30">
        <v>1250</v>
      </c>
      <c r="M30">
        <v>2100</v>
      </c>
      <c r="N30">
        <v>1400</v>
      </c>
      <c r="O30">
        <v>2250</v>
      </c>
      <c r="P30">
        <v>3100</v>
      </c>
      <c r="Q30">
        <v>2550</v>
      </c>
      <c r="R30">
        <v>2700</v>
      </c>
      <c r="S30">
        <v>3550</v>
      </c>
      <c r="T30">
        <v>2850</v>
      </c>
      <c r="U30">
        <v>3700</v>
      </c>
      <c r="V30">
        <v>4550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</row>
    <row r="31" spans="1:88" x14ac:dyDescent="0.35">
      <c r="A31">
        <v>750</v>
      </c>
      <c r="B31">
        <v>900</v>
      </c>
      <c r="C31">
        <v>1750</v>
      </c>
      <c r="D31">
        <v>1050</v>
      </c>
      <c r="E31">
        <v>1900</v>
      </c>
      <c r="F31">
        <v>2750</v>
      </c>
      <c r="G31">
        <v>1200</v>
      </c>
      <c r="H31">
        <v>2050</v>
      </c>
      <c r="I31">
        <v>2900</v>
      </c>
      <c r="J31">
        <v>3750</v>
      </c>
      <c r="K31">
        <v>1100</v>
      </c>
      <c r="L31">
        <v>1250</v>
      </c>
      <c r="M31">
        <v>2100</v>
      </c>
      <c r="N31">
        <v>1400</v>
      </c>
      <c r="O31">
        <v>2250</v>
      </c>
      <c r="P31">
        <v>3100</v>
      </c>
      <c r="Q31">
        <v>2550</v>
      </c>
      <c r="R31">
        <v>2700</v>
      </c>
      <c r="S31">
        <v>3550</v>
      </c>
      <c r="T31">
        <v>2850</v>
      </c>
      <c r="U31">
        <v>3700</v>
      </c>
      <c r="V31">
        <v>4550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</row>
    <row r="32" spans="1:88" x14ac:dyDescent="0.35">
      <c r="A32">
        <v>650</v>
      </c>
      <c r="B32">
        <v>800</v>
      </c>
      <c r="C32">
        <v>1650</v>
      </c>
      <c r="D32">
        <v>950</v>
      </c>
      <c r="E32">
        <v>1800</v>
      </c>
      <c r="F32">
        <v>2650</v>
      </c>
      <c r="G32">
        <v>1100</v>
      </c>
      <c r="H32">
        <v>1950</v>
      </c>
      <c r="I32">
        <v>2800</v>
      </c>
      <c r="J32">
        <v>3650</v>
      </c>
      <c r="K32">
        <v>1000</v>
      </c>
      <c r="L32">
        <v>1150</v>
      </c>
      <c r="M32">
        <v>2000</v>
      </c>
      <c r="N32">
        <v>1300</v>
      </c>
      <c r="O32">
        <v>2150</v>
      </c>
      <c r="P32">
        <v>3000</v>
      </c>
      <c r="Q32">
        <v>2450</v>
      </c>
      <c r="R32">
        <v>2600</v>
      </c>
      <c r="S32">
        <v>3450</v>
      </c>
      <c r="T32">
        <v>2750</v>
      </c>
      <c r="U32">
        <v>3600</v>
      </c>
      <c r="V32">
        <v>4450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</row>
    <row r="33" spans="1:88" x14ac:dyDescent="0.35">
      <c r="A33">
        <v>900</v>
      </c>
      <c r="B33">
        <v>1050</v>
      </c>
      <c r="C33">
        <v>1900</v>
      </c>
      <c r="D33">
        <v>1200</v>
      </c>
      <c r="E33">
        <v>2050</v>
      </c>
      <c r="F33">
        <v>2900</v>
      </c>
      <c r="G33">
        <v>1350</v>
      </c>
      <c r="H33">
        <v>2200</v>
      </c>
      <c r="I33">
        <v>3050</v>
      </c>
      <c r="J33">
        <v>3900</v>
      </c>
      <c r="K33">
        <v>1250</v>
      </c>
      <c r="L33">
        <v>1400</v>
      </c>
      <c r="M33">
        <v>2250</v>
      </c>
      <c r="N33">
        <v>1550</v>
      </c>
      <c r="O33">
        <v>2400</v>
      </c>
      <c r="P33">
        <v>3250</v>
      </c>
      <c r="Q33">
        <v>2700</v>
      </c>
      <c r="R33">
        <v>2850</v>
      </c>
      <c r="S33">
        <v>3700</v>
      </c>
      <c r="T33">
        <v>3000</v>
      </c>
      <c r="U33">
        <v>3850</v>
      </c>
      <c r="V33">
        <v>4700</v>
      </c>
      <c r="W33">
        <v>1300</v>
      </c>
      <c r="X33">
        <v>1450</v>
      </c>
      <c r="Y33">
        <v>2300</v>
      </c>
      <c r="Z33">
        <v>1600</v>
      </c>
      <c r="AA33">
        <v>2450</v>
      </c>
      <c r="AB33">
        <v>3300</v>
      </c>
      <c r="AC33">
        <v>1750</v>
      </c>
      <c r="AD33">
        <v>2600</v>
      </c>
      <c r="AE33">
        <v>3450</v>
      </c>
      <c r="AF33">
        <v>4300</v>
      </c>
      <c r="AG33">
        <v>1650</v>
      </c>
      <c r="AH33">
        <v>1800</v>
      </c>
      <c r="AI33">
        <v>2650</v>
      </c>
      <c r="AJ33">
        <v>1950</v>
      </c>
      <c r="AK33">
        <v>2800</v>
      </c>
      <c r="AL33">
        <v>3650</v>
      </c>
      <c r="AM33">
        <v>3100</v>
      </c>
      <c r="AN33">
        <v>3250</v>
      </c>
      <c r="AO33">
        <v>4100</v>
      </c>
      <c r="AP33">
        <v>3400</v>
      </c>
      <c r="AQ33">
        <v>4250</v>
      </c>
      <c r="AR33">
        <v>5100</v>
      </c>
      <c r="AS33">
        <v>1900</v>
      </c>
      <c r="AT33">
        <v>2050</v>
      </c>
      <c r="AU33">
        <v>2900</v>
      </c>
      <c r="AV33">
        <v>2200</v>
      </c>
      <c r="AW33">
        <v>3050</v>
      </c>
      <c r="AX33">
        <v>3900</v>
      </c>
      <c r="AY33">
        <v>2350</v>
      </c>
      <c r="AZ33">
        <v>3200</v>
      </c>
      <c r="BA33">
        <v>4050</v>
      </c>
      <c r="BB33">
        <v>4900</v>
      </c>
      <c r="BC33">
        <v>2250</v>
      </c>
      <c r="BD33">
        <v>2400</v>
      </c>
      <c r="BE33">
        <v>3250</v>
      </c>
      <c r="BF33">
        <v>2550</v>
      </c>
      <c r="BG33">
        <v>3400</v>
      </c>
      <c r="BH33">
        <v>4250</v>
      </c>
      <c r="BI33">
        <v>3700</v>
      </c>
      <c r="BJ33">
        <v>3850</v>
      </c>
      <c r="BK33">
        <v>4700</v>
      </c>
      <c r="BL33">
        <v>4000</v>
      </c>
      <c r="BM33">
        <v>4850</v>
      </c>
      <c r="BN33">
        <v>5700</v>
      </c>
      <c r="BO33">
        <v>2500</v>
      </c>
      <c r="BP33">
        <v>2650</v>
      </c>
      <c r="BQ33">
        <v>3500</v>
      </c>
      <c r="BR33">
        <v>2800</v>
      </c>
      <c r="BS33">
        <v>3650</v>
      </c>
      <c r="BT33">
        <v>4500</v>
      </c>
      <c r="BU33">
        <v>2950</v>
      </c>
      <c r="BV33">
        <v>3800</v>
      </c>
      <c r="BW33">
        <v>4650</v>
      </c>
      <c r="BX33">
        <v>5500</v>
      </c>
      <c r="BY33">
        <v>2850</v>
      </c>
      <c r="BZ33">
        <v>3000</v>
      </c>
      <c r="CA33">
        <v>3850</v>
      </c>
      <c r="CB33">
        <v>3150</v>
      </c>
      <c r="CC33">
        <v>4000</v>
      </c>
      <c r="CD33">
        <v>4850</v>
      </c>
      <c r="CE33">
        <v>4300</v>
      </c>
      <c r="CF33">
        <v>4450</v>
      </c>
      <c r="CG33">
        <v>5300</v>
      </c>
      <c r="CH33">
        <v>4600</v>
      </c>
      <c r="CI33">
        <v>5450</v>
      </c>
      <c r="CJ33">
        <v>6300</v>
      </c>
    </row>
    <row r="34" spans="1:88" x14ac:dyDescent="0.35">
      <c r="A34">
        <v>650</v>
      </c>
      <c r="B34">
        <v>800</v>
      </c>
      <c r="C34">
        <v>1650</v>
      </c>
      <c r="D34">
        <v>950</v>
      </c>
      <c r="E34">
        <v>1800</v>
      </c>
      <c r="F34">
        <v>2650</v>
      </c>
      <c r="G34">
        <v>1100</v>
      </c>
      <c r="H34">
        <v>1950</v>
      </c>
      <c r="I34">
        <v>2800</v>
      </c>
      <c r="J34">
        <v>3650</v>
      </c>
      <c r="K34">
        <v>1000</v>
      </c>
      <c r="L34">
        <v>1150</v>
      </c>
      <c r="M34">
        <v>2000</v>
      </c>
      <c r="N34">
        <v>1300</v>
      </c>
      <c r="O34">
        <v>2150</v>
      </c>
      <c r="P34">
        <v>3000</v>
      </c>
      <c r="Q34">
        <v>2450</v>
      </c>
      <c r="R34">
        <v>2600</v>
      </c>
      <c r="S34">
        <v>3450</v>
      </c>
      <c r="T34">
        <v>2750</v>
      </c>
      <c r="U34">
        <v>3600</v>
      </c>
      <c r="V34">
        <v>4450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</row>
    <row r="35" spans="1:88" x14ac:dyDescent="0.35">
      <c r="A35">
        <v>600</v>
      </c>
      <c r="B35">
        <v>750</v>
      </c>
      <c r="C35">
        <v>1600</v>
      </c>
      <c r="D35">
        <v>900</v>
      </c>
      <c r="E35">
        <v>1750</v>
      </c>
      <c r="F35">
        <v>2600</v>
      </c>
      <c r="G35">
        <v>1050</v>
      </c>
      <c r="H35">
        <v>1900</v>
      </c>
      <c r="I35">
        <v>2750</v>
      </c>
      <c r="J35">
        <v>3600</v>
      </c>
      <c r="K35">
        <v>950</v>
      </c>
      <c r="L35">
        <v>1100</v>
      </c>
      <c r="M35">
        <v>1950</v>
      </c>
      <c r="N35">
        <v>1250</v>
      </c>
      <c r="O35">
        <v>2100</v>
      </c>
      <c r="P35">
        <v>2950</v>
      </c>
      <c r="Q35">
        <v>2400</v>
      </c>
      <c r="R35">
        <v>2550</v>
      </c>
      <c r="S35">
        <v>3400</v>
      </c>
      <c r="T35">
        <v>2700</v>
      </c>
      <c r="U35">
        <v>3550</v>
      </c>
      <c r="V35">
        <v>4400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</row>
    <row r="36" spans="1:88" x14ac:dyDescent="0.35">
      <c r="A36">
        <v>650</v>
      </c>
      <c r="B36">
        <v>800</v>
      </c>
      <c r="C36">
        <v>1650</v>
      </c>
      <c r="D36">
        <v>950</v>
      </c>
      <c r="E36">
        <v>1800</v>
      </c>
      <c r="F36">
        <v>2650</v>
      </c>
      <c r="G36">
        <v>1100</v>
      </c>
      <c r="H36">
        <v>1950</v>
      </c>
      <c r="I36">
        <v>2800</v>
      </c>
      <c r="J36">
        <v>3650</v>
      </c>
      <c r="K36">
        <v>1000</v>
      </c>
      <c r="L36">
        <v>1150</v>
      </c>
      <c r="M36">
        <v>2000</v>
      </c>
      <c r="N36">
        <v>1300</v>
      </c>
      <c r="O36">
        <v>2150</v>
      </c>
      <c r="P36">
        <v>3000</v>
      </c>
      <c r="Q36">
        <v>2450</v>
      </c>
      <c r="R36">
        <v>2600</v>
      </c>
      <c r="S36">
        <v>3450</v>
      </c>
      <c r="T36">
        <v>2750</v>
      </c>
      <c r="U36">
        <v>3600</v>
      </c>
      <c r="V36">
        <v>4450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</row>
    <row r="37" spans="1:88" x14ac:dyDescent="0.35">
      <c r="A37">
        <v>800</v>
      </c>
      <c r="B37">
        <v>950</v>
      </c>
      <c r="C37">
        <v>1800</v>
      </c>
      <c r="D37">
        <v>1100</v>
      </c>
      <c r="E37">
        <v>1950</v>
      </c>
      <c r="F37">
        <v>2800</v>
      </c>
      <c r="G37">
        <v>1250</v>
      </c>
      <c r="H37">
        <v>2100</v>
      </c>
      <c r="I37">
        <v>2950</v>
      </c>
      <c r="J37">
        <v>3800</v>
      </c>
      <c r="K37">
        <v>1150</v>
      </c>
      <c r="L37">
        <v>1300</v>
      </c>
      <c r="M37">
        <v>2150</v>
      </c>
      <c r="N37">
        <v>1450</v>
      </c>
      <c r="O37">
        <v>2300</v>
      </c>
      <c r="P37">
        <v>3150</v>
      </c>
      <c r="Q37">
        <v>2600</v>
      </c>
      <c r="R37">
        <v>2750</v>
      </c>
      <c r="S37">
        <v>3600</v>
      </c>
      <c r="T37">
        <v>2900</v>
      </c>
      <c r="U37">
        <v>3750</v>
      </c>
      <c r="V37">
        <v>4600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</row>
    <row r="38" spans="1:88" x14ac:dyDescent="0.35">
      <c r="A38">
        <v>900</v>
      </c>
      <c r="B38">
        <v>1050</v>
      </c>
      <c r="C38">
        <v>1900</v>
      </c>
      <c r="D38">
        <v>1200</v>
      </c>
      <c r="E38">
        <v>2050</v>
      </c>
      <c r="F38">
        <v>2900</v>
      </c>
      <c r="G38">
        <v>1350</v>
      </c>
      <c r="H38">
        <v>2200</v>
      </c>
      <c r="I38">
        <v>3050</v>
      </c>
      <c r="J38">
        <v>3900</v>
      </c>
      <c r="K38">
        <v>1250</v>
      </c>
      <c r="L38">
        <v>1400</v>
      </c>
      <c r="M38">
        <v>2250</v>
      </c>
      <c r="N38">
        <v>1550</v>
      </c>
      <c r="O38">
        <v>2400</v>
      </c>
      <c r="P38">
        <v>3250</v>
      </c>
      <c r="Q38">
        <v>2700</v>
      </c>
      <c r="R38">
        <v>2850</v>
      </c>
      <c r="S38">
        <v>3700</v>
      </c>
      <c r="T38">
        <v>3000</v>
      </c>
      <c r="U38">
        <v>3850</v>
      </c>
      <c r="V38">
        <v>4700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</row>
    <row r="39" spans="1:88" x14ac:dyDescent="0.35">
      <c r="A39">
        <v>800</v>
      </c>
      <c r="B39">
        <v>950</v>
      </c>
      <c r="C39">
        <v>1800</v>
      </c>
      <c r="D39">
        <v>1100</v>
      </c>
      <c r="E39">
        <v>1950</v>
      </c>
      <c r="F39">
        <v>2800</v>
      </c>
      <c r="G39">
        <v>1250</v>
      </c>
      <c r="H39">
        <v>2100</v>
      </c>
      <c r="I39">
        <v>2950</v>
      </c>
      <c r="J39">
        <v>3800</v>
      </c>
      <c r="K39">
        <v>1150</v>
      </c>
      <c r="L39">
        <v>1300</v>
      </c>
      <c r="M39">
        <v>2150</v>
      </c>
      <c r="N39">
        <v>1450</v>
      </c>
      <c r="O39">
        <v>2300</v>
      </c>
      <c r="P39">
        <v>3150</v>
      </c>
      <c r="Q39">
        <v>2600</v>
      </c>
      <c r="R39">
        <v>2750</v>
      </c>
      <c r="S39">
        <v>3600</v>
      </c>
      <c r="T39">
        <v>2900</v>
      </c>
      <c r="U39">
        <v>3750</v>
      </c>
      <c r="V39">
        <v>4600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</row>
    <row r="40" spans="1:88" x14ac:dyDescent="0.35">
      <c r="A40">
        <v>750</v>
      </c>
      <c r="B40">
        <v>900</v>
      </c>
      <c r="C40">
        <v>1750</v>
      </c>
      <c r="D40">
        <v>1050</v>
      </c>
      <c r="E40">
        <v>1900</v>
      </c>
      <c r="F40">
        <v>2750</v>
      </c>
      <c r="G40">
        <v>1200</v>
      </c>
      <c r="H40">
        <v>2050</v>
      </c>
      <c r="I40">
        <v>2900</v>
      </c>
      <c r="J40">
        <v>3750</v>
      </c>
      <c r="K40">
        <v>1100</v>
      </c>
      <c r="L40">
        <v>1250</v>
      </c>
      <c r="M40">
        <v>2100</v>
      </c>
      <c r="N40">
        <v>1400</v>
      </c>
      <c r="O40">
        <v>2250</v>
      </c>
      <c r="P40">
        <v>3100</v>
      </c>
      <c r="Q40">
        <v>2550</v>
      </c>
      <c r="R40">
        <v>2700</v>
      </c>
      <c r="S40">
        <v>3550</v>
      </c>
      <c r="T40">
        <v>2850</v>
      </c>
      <c r="U40">
        <v>3700</v>
      </c>
      <c r="V40">
        <v>4550</v>
      </c>
      <c r="W40">
        <v>1150</v>
      </c>
      <c r="X40">
        <v>1300</v>
      </c>
      <c r="Y40">
        <v>2150</v>
      </c>
      <c r="Z40">
        <v>1450</v>
      </c>
      <c r="AA40">
        <v>2300</v>
      </c>
      <c r="AB40">
        <v>3150</v>
      </c>
      <c r="AC40">
        <v>1600</v>
      </c>
      <c r="AD40">
        <v>2450</v>
      </c>
      <c r="AE40">
        <v>3300</v>
      </c>
      <c r="AF40">
        <v>4150</v>
      </c>
      <c r="AG40">
        <v>1500</v>
      </c>
      <c r="AH40">
        <v>1650</v>
      </c>
      <c r="AI40">
        <v>2500</v>
      </c>
      <c r="AJ40">
        <v>1800</v>
      </c>
      <c r="AK40">
        <v>2650</v>
      </c>
      <c r="AL40">
        <v>3500</v>
      </c>
      <c r="AM40">
        <v>2950</v>
      </c>
      <c r="AN40">
        <v>3100</v>
      </c>
      <c r="AO40">
        <v>3950</v>
      </c>
      <c r="AP40">
        <v>3250</v>
      </c>
      <c r="AQ40">
        <v>4100</v>
      </c>
      <c r="AR40">
        <v>4950</v>
      </c>
      <c r="AS40">
        <v>1750</v>
      </c>
      <c r="AT40">
        <v>1900</v>
      </c>
      <c r="AU40">
        <v>2750</v>
      </c>
      <c r="AV40">
        <v>2050</v>
      </c>
      <c r="AW40">
        <v>2900</v>
      </c>
      <c r="AX40">
        <v>3750</v>
      </c>
      <c r="AY40">
        <v>2200</v>
      </c>
      <c r="AZ40">
        <v>3050</v>
      </c>
      <c r="BA40">
        <v>3900</v>
      </c>
      <c r="BB40">
        <v>4750</v>
      </c>
      <c r="BC40">
        <v>2100</v>
      </c>
      <c r="BD40">
        <v>2250</v>
      </c>
      <c r="BE40">
        <v>3100</v>
      </c>
      <c r="BF40">
        <v>2400</v>
      </c>
      <c r="BG40">
        <v>3250</v>
      </c>
      <c r="BH40">
        <v>4100</v>
      </c>
      <c r="BI40">
        <v>3550</v>
      </c>
      <c r="BJ40">
        <v>3700</v>
      </c>
      <c r="BK40">
        <v>4550</v>
      </c>
      <c r="BL40">
        <v>3850</v>
      </c>
      <c r="BM40">
        <v>4700</v>
      </c>
      <c r="BN40">
        <v>5550</v>
      </c>
      <c r="BO40">
        <v>2350</v>
      </c>
      <c r="BP40">
        <v>2500</v>
      </c>
      <c r="BQ40">
        <v>3350</v>
      </c>
      <c r="BR40">
        <v>2650</v>
      </c>
      <c r="BS40">
        <v>3500</v>
      </c>
      <c r="BT40">
        <v>4350</v>
      </c>
      <c r="BU40">
        <v>2800</v>
      </c>
      <c r="BV40">
        <v>3650</v>
      </c>
      <c r="BW40">
        <v>4500</v>
      </c>
      <c r="BX40">
        <v>5350</v>
      </c>
      <c r="BY40">
        <v>2700</v>
      </c>
      <c r="BZ40">
        <v>2850</v>
      </c>
      <c r="CA40">
        <v>3700</v>
      </c>
      <c r="CB40">
        <v>3000</v>
      </c>
      <c r="CC40">
        <v>3850</v>
      </c>
      <c r="CD40">
        <v>4700</v>
      </c>
      <c r="CE40">
        <v>4150</v>
      </c>
      <c r="CF40">
        <v>4300</v>
      </c>
      <c r="CG40">
        <v>5150</v>
      </c>
      <c r="CH40">
        <v>4450</v>
      </c>
      <c r="CI40">
        <v>5300</v>
      </c>
      <c r="CJ40">
        <v>6150</v>
      </c>
    </row>
    <row r="41" spans="1:88" x14ac:dyDescent="0.35">
      <c r="A41">
        <v>500</v>
      </c>
      <c r="B41">
        <v>650</v>
      </c>
      <c r="C41">
        <v>1500</v>
      </c>
      <c r="D41">
        <v>800</v>
      </c>
      <c r="E41">
        <v>1650</v>
      </c>
      <c r="F41">
        <v>2500</v>
      </c>
      <c r="G41">
        <v>950</v>
      </c>
      <c r="H41">
        <v>1800</v>
      </c>
      <c r="I41">
        <v>2650</v>
      </c>
      <c r="J41">
        <v>3500</v>
      </c>
      <c r="K41">
        <v>850</v>
      </c>
      <c r="L41">
        <v>1000</v>
      </c>
      <c r="M41">
        <v>1850</v>
      </c>
      <c r="N41">
        <v>1150</v>
      </c>
      <c r="O41">
        <v>2000</v>
      </c>
      <c r="P41">
        <v>2850</v>
      </c>
      <c r="Q41">
        <v>2300</v>
      </c>
      <c r="R41">
        <v>2450</v>
      </c>
      <c r="S41">
        <v>3300</v>
      </c>
      <c r="T41">
        <v>2600</v>
      </c>
      <c r="U41">
        <v>3450</v>
      </c>
      <c r="V41">
        <v>4300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</row>
    <row r="42" spans="1:88" x14ac:dyDescent="0.35">
      <c r="A42">
        <v>800</v>
      </c>
      <c r="B42">
        <v>950</v>
      </c>
      <c r="C42">
        <v>1800</v>
      </c>
      <c r="D42">
        <v>1100</v>
      </c>
      <c r="E42">
        <v>1950</v>
      </c>
      <c r="F42">
        <v>2800</v>
      </c>
      <c r="G42">
        <v>1250</v>
      </c>
      <c r="H42">
        <v>2100</v>
      </c>
      <c r="I42">
        <v>2950</v>
      </c>
      <c r="J42">
        <v>3800</v>
      </c>
      <c r="K42">
        <v>1150</v>
      </c>
      <c r="L42">
        <v>1300</v>
      </c>
      <c r="M42">
        <v>2150</v>
      </c>
      <c r="N42">
        <v>1450</v>
      </c>
      <c r="O42">
        <v>2300</v>
      </c>
      <c r="P42">
        <v>3150</v>
      </c>
      <c r="Q42">
        <v>2600</v>
      </c>
      <c r="R42">
        <v>2750</v>
      </c>
      <c r="S42">
        <v>3600</v>
      </c>
      <c r="T42">
        <v>2900</v>
      </c>
      <c r="U42">
        <v>3750</v>
      </c>
      <c r="V42">
        <v>4600</v>
      </c>
      <c r="W42">
        <v>1200</v>
      </c>
      <c r="X42">
        <v>1350</v>
      </c>
      <c r="Y42">
        <v>2200</v>
      </c>
      <c r="Z42">
        <v>1500</v>
      </c>
      <c r="AA42">
        <v>2350</v>
      </c>
      <c r="AB42">
        <v>3200</v>
      </c>
      <c r="AC42">
        <v>1650</v>
      </c>
      <c r="AD42">
        <v>2500</v>
      </c>
      <c r="AE42">
        <v>3350</v>
      </c>
      <c r="AF42">
        <v>4200</v>
      </c>
      <c r="AG42">
        <v>1550</v>
      </c>
      <c r="AH42">
        <v>1700</v>
      </c>
      <c r="AI42">
        <v>2550</v>
      </c>
      <c r="AJ42">
        <v>1850</v>
      </c>
      <c r="AK42">
        <v>2700</v>
      </c>
      <c r="AL42">
        <v>3550</v>
      </c>
      <c r="AM42">
        <v>3000</v>
      </c>
      <c r="AN42">
        <v>3150</v>
      </c>
      <c r="AO42">
        <v>4000</v>
      </c>
      <c r="AP42">
        <v>3300</v>
      </c>
      <c r="AQ42">
        <v>4150</v>
      </c>
      <c r="AR42">
        <v>5000</v>
      </c>
      <c r="AS42">
        <v>1800</v>
      </c>
      <c r="AT42">
        <v>1950</v>
      </c>
      <c r="AU42">
        <v>2800</v>
      </c>
      <c r="AV42">
        <v>2100</v>
      </c>
      <c r="AW42">
        <v>2950</v>
      </c>
      <c r="AX42">
        <v>3800</v>
      </c>
      <c r="AY42">
        <v>2250</v>
      </c>
      <c r="AZ42">
        <v>3100</v>
      </c>
      <c r="BA42">
        <v>3950</v>
      </c>
      <c r="BB42">
        <v>4800</v>
      </c>
      <c r="BC42">
        <v>2150</v>
      </c>
      <c r="BD42">
        <v>2300</v>
      </c>
      <c r="BE42">
        <v>3150</v>
      </c>
      <c r="BF42">
        <v>2450</v>
      </c>
      <c r="BG42">
        <v>3300</v>
      </c>
      <c r="BH42">
        <v>4150</v>
      </c>
      <c r="BI42">
        <v>3600</v>
      </c>
      <c r="BJ42">
        <v>3750</v>
      </c>
      <c r="BK42">
        <v>4600</v>
      </c>
      <c r="BL42">
        <v>3900</v>
      </c>
      <c r="BM42">
        <v>4750</v>
      </c>
      <c r="BN42">
        <v>5600</v>
      </c>
      <c r="BO42">
        <v>2400</v>
      </c>
      <c r="BP42">
        <v>2550</v>
      </c>
      <c r="BQ42">
        <v>3400</v>
      </c>
      <c r="BR42">
        <v>2700</v>
      </c>
      <c r="BS42">
        <v>3550</v>
      </c>
      <c r="BT42">
        <v>4400</v>
      </c>
      <c r="BU42">
        <v>2850</v>
      </c>
      <c r="BV42">
        <v>3700</v>
      </c>
      <c r="BW42">
        <v>4550</v>
      </c>
      <c r="BX42">
        <v>5400</v>
      </c>
      <c r="BY42">
        <v>2750</v>
      </c>
      <c r="BZ42">
        <v>2900</v>
      </c>
      <c r="CA42">
        <v>3750</v>
      </c>
      <c r="CB42">
        <v>3050</v>
      </c>
      <c r="CC42">
        <v>3900</v>
      </c>
      <c r="CD42">
        <v>4750</v>
      </c>
      <c r="CE42">
        <v>4200</v>
      </c>
      <c r="CF42">
        <v>4350</v>
      </c>
      <c r="CG42">
        <v>5200</v>
      </c>
      <c r="CH42">
        <v>4500</v>
      </c>
      <c r="CI42">
        <v>5350</v>
      </c>
      <c r="CJ42">
        <v>6200</v>
      </c>
    </row>
    <row r="43" spans="1:88" x14ac:dyDescent="0.35">
      <c r="A43">
        <v>550</v>
      </c>
      <c r="B43">
        <v>700</v>
      </c>
      <c r="C43">
        <v>1550</v>
      </c>
      <c r="D43">
        <v>850</v>
      </c>
      <c r="E43">
        <v>1700</v>
      </c>
      <c r="F43">
        <v>2550</v>
      </c>
      <c r="G43">
        <v>1000</v>
      </c>
      <c r="H43">
        <v>1850</v>
      </c>
      <c r="I43">
        <v>2700</v>
      </c>
      <c r="J43">
        <v>3550</v>
      </c>
      <c r="K43">
        <v>900</v>
      </c>
      <c r="L43">
        <v>1050</v>
      </c>
      <c r="M43">
        <v>1900</v>
      </c>
      <c r="N43">
        <v>1200</v>
      </c>
      <c r="O43">
        <v>2050</v>
      </c>
      <c r="P43">
        <v>2900</v>
      </c>
      <c r="Q43">
        <v>2350</v>
      </c>
      <c r="R43">
        <v>2500</v>
      </c>
      <c r="S43">
        <v>3350</v>
      </c>
      <c r="T43">
        <v>2650</v>
      </c>
      <c r="U43">
        <v>3500</v>
      </c>
      <c r="V43">
        <v>4350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</row>
    <row r="44" spans="1:88" x14ac:dyDescent="0.35">
      <c r="A44">
        <v>600</v>
      </c>
      <c r="B44">
        <v>750</v>
      </c>
      <c r="C44">
        <v>1600</v>
      </c>
      <c r="D44">
        <v>900</v>
      </c>
      <c r="E44">
        <v>1750</v>
      </c>
      <c r="F44">
        <v>2600</v>
      </c>
      <c r="G44">
        <v>1050</v>
      </c>
      <c r="H44">
        <v>1900</v>
      </c>
      <c r="I44">
        <v>2750</v>
      </c>
      <c r="J44">
        <v>3600</v>
      </c>
      <c r="K44">
        <v>950</v>
      </c>
      <c r="L44">
        <v>1100</v>
      </c>
      <c r="M44">
        <v>1950</v>
      </c>
      <c r="N44">
        <v>1250</v>
      </c>
      <c r="O44">
        <v>2100</v>
      </c>
      <c r="P44">
        <v>2950</v>
      </c>
      <c r="Q44">
        <v>2400</v>
      </c>
      <c r="R44">
        <v>2550</v>
      </c>
      <c r="S44">
        <v>3400</v>
      </c>
      <c r="T44">
        <v>2700</v>
      </c>
      <c r="U44">
        <v>3550</v>
      </c>
      <c r="V44">
        <v>4400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</row>
    <row r="45" spans="1:88" x14ac:dyDescent="0.35">
      <c r="A45">
        <v>800</v>
      </c>
      <c r="B45">
        <v>950</v>
      </c>
      <c r="C45">
        <v>1800</v>
      </c>
      <c r="D45">
        <v>1100</v>
      </c>
      <c r="E45">
        <v>1950</v>
      </c>
      <c r="F45">
        <v>2800</v>
      </c>
      <c r="G45">
        <v>1250</v>
      </c>
      <c r="H45">
        <v>2100</v>
      </c>
      <c r="I45">
        <v>2950</v>
      </c>
      <c r="J45">
        <v>3800</v>
      </c>
      <c r="K45">
        <v>1150</v>
      </c>
      <c r="L45">
        <v>1300</v>
      </c>
      <c r="M45">
        <v>2150</v>
      </c>
      <c r="N45">
        <v>1450</v>
      </c>
      <c r="O45">
        <v>2300</v>
      </c>
      <c r="P45">
        <v>3150</v>
      </c>
      <c r="Q45">
        <v>2600</v>
      </c>
      <c r="R45">
        <v>2750</v>
      </c>
      <c r="S45">
        <v>3600</v>
      </c>
      <c r="T45">
        <v>2900</v>
      </c>
      <c r="U45">
        <v>3750</v>
      </c>
      <c r="V45">
        <v>4600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</row>
    <row r="46" spans="1:88" x14ac:dyDescent="0.35">
      <c r="A46">
        <v>800</v>
      </c>
      <c r="B46">
        <v>950</v>
      </c>
      <c r="C46">
        <v>1800</v>
      </c>
      <c r="D46">
        <v>1100</v>
      </c>
      <c r="E46">
        <v>1950</v>
      </c>
      <c r="F46">
        <v>2800</v>
      </c>
      <c r="G46">
        <v>1250</v>
      </c>
      <c r="H46">
        <v>2100</v>
      </c>
      <c r="I46">
        <v>2950</v>
      </c>
      <c r="J46">
        <v>3800</v>
      </c>
      <c r="K46">
        <v>1150</v>
      </c>
      <c r="L46">
        <v>1300</v>
      </c>
      <c r="M46">
        <v>2150</v>
      </c>
      <c r="N46">
        <v>1450</v>
      </c>
      <c r="O46">
        <v>2300</v>
      </c>
      <c r="P46">
        <v>3150</v>
      </c>
      <c r="Q46">
        <v>2600</v>
      </c>
      <c r="R46">
        <v>2750</v>
      </c>
      <c r="S46">
        <v>3600</v>
      </c>
      <c r="T46">
        <v>2900</v>
      </c>
      <c r="U46">
        <v>3750</v>
      </c>
      <c r="V46">
        <v>4600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</row>
    <row r="47" spans="1:88" x14ac:dyDescent="0.35">
      <c r="A47">
        <v>550</v>
      </c>
      <c r="B47">
        <v>700</v>
      </c>
      <c r="C47">
        <v>1550</v>
      </c>
      <c r="D47">
        <v>850</v>
      </c>
      <c r="E47">
        <v>1700</v>
      </c>
      <c r="F47">
        <v>2550</v>
      </c>
      <c r="G47">
        <v>1000</v>
      </c>
      <c r="H47">
        <v>1850</v>
      </c>
      <c r="I47">
        <v>2700</v>
      </c>
      <c r="J47">
        <v>3550</v>
      </c>
      <c r="K47">
        <v>900</v>
      </c>
      <c r="L47">
        <v>1050</v>
      </c>
      <c r="M47">
        <v>1900</v>
      </c>
      <c r="N47">
        <v>1200</v>
      </c>
      <c r="O47">
        <v>2050</v>
      </c>
      <c r="P47">
        <v>2900</v>
      </c>
      <c r="Q47">
        <v>2350</v>
      </c>
      <c r="R47">
        <v>2500</v>
      </c>
      <c r="S47">
        <v>3350</v>
      </c>
      <c r="T47">
        <v>2650</v>
      </c>
      <c r="U47">
        <v>3500</v>
      </c>
      <c r="V47">
        <v>4350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</row>
    <row r="48" spans="1:88" x14ac:dyDescent="0.35">
      <c r="A48">
        <v>700</v>
      </c>
      <c r="B48">
        <v>850</v>
      </c>
      <c r="C48">
        <v>1700</v>
      </c>
      <c r="D48">
        <v>1000</v>
      </c>
      <c r="E48">
        <v>1850</v>
      </c>
      <c r="F48">
        <v>2700</v>
      </c>
      <c r="G48">
        <v>1150</v>
      </c>
      <c r="H48">
        <v>2000</v>
      </c>
      <c r="I48">
        <v>2850</v>
      </c>
      <c r="J48">
        <v>3700</v>
      </c>
      <c r="K48">
        <v>1050</v>
      </c>
      <c r="L48">
        <v>1200</v>
      </c>
      <c r="M48">
        <v>2050</v>
      </c>
      <c r="N48">
        <v>1350</v>
      </c>
      <c r="O48">
        <v>2200</v>
      </c>
      <c r="P48">
        <v>3050</v>
      </c>
      <c r="Q48">
        <v>2500</v>
      </c>
      <c r="R48">
        <v>2650</v>
      </c>
      <c r="S48">
        <v>3500</v>
      </c>
      <c r="T48">
        <v>2800</v>
      </c>
      <c r="U48">
        <v>3650</v>
      </c>
      <c r="V48">
        <v>4500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</row>
    <row r="49" spans="1:88" x14ac:dyDescent="0.35">
      <c r="A49">
        <v>600</v>
      </c>
      <c r="B49">
        <v>750</v>
      </c>
      <c r="C49">
        <v>1600</v>
      </c>
      <c r="D49">
        <v>900</v>
      </c>
      <c r="E49">
        <v>1750</v>
      </c>
      <c r="F49">
        <v>2600</v>
      </c>
      <c r="G49">
        <v>1050</v>
      </c>
      <c r="H49">
        <v>1900</v>
      </c>
      <c r="I49">
        <v>2750</v>
      </c>
      <c r="J49">
        <v>3600</v>
      </c>
      <c r="K49">
        <v>950</v>
      </c>
      <c r="L49">
        <v>1100</v>
      </c>
      <c r="M49">
        <v>1950</v>
      </c>
      <c r="N49">
        <v>1250</v>
      </c>
      <c r="O49">
        <v>2100</v>
      </c>
      <c r="P49">
        <v>2950</v>
      </c>
      <c r="Q49">
        <v>2400</v>
      </c>
      <c r="R49">
        <v>2550</v>
      </c>
      <c r="S49">
        <v>3400</v>
      </c>
      <c r="T49">
        <v>2700</v>
      </c>
      <c r="U49">
        <v>3550</v>
      </c>
      <c r="V49">
        <v>4400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</row>
    <row r="50" spans="1:88" x14ac:dyDescent="0.35">
      <c r="A50">
        <v>500</v>
      </c>
      <c r="B50">
        <v>650</v>
      </c>
      <c r="C50">
        <v>1500</v>
      </c>
      <c r="D50">
        <v>800</v>
      </c>
      <c r="E50">
        <v>1650</v>
      </c>
      <c r="F50">
        <v>2500</v>
      </c>
      <c r="G50">
        <v>950</v>
      </c>
      <c r="H50">
        <v>1800</v>
      </c>
      <c r="I50">
        <v>2650</v>
      </c>
      <c r="J50">
        <v>3500</v>
      </c>
      <c r="K50">
        <v>850</v>
      </c>
      <c r="L50">
        <v>1000</v>
      </c>
      <c r="M50">
        <v>1850</v>
      </c>
      <c r="N50">
        <v>1150</v>
      </c>
      <c r="O50">
        <v>2000</v>
      </c>
      <c r="P50">
        <v>2850</v>
      </c>
      <c r="Q50">
        <v>2300</v>
      </c>
      <c r="R50">
        <v>2450</v>
      </c>
      <c r="S50">
        <v>3300</v>
      </c>
      <c r="T50">
        <v>2600</v>
      </c>
      <c r="U50">
        <v>3450</v>
      </c>
      <c r="V50">
        <v>4300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</row>
    <row r="51" spans="1:88" x14ac:dyDescent="0.35">
      <c r="A51">
        <v>700</v>
      </c>
      <c r="B51">
        <v>850</v>
      </c>
      <c r="C51">
        <v>1700</v>
      </c>
      <c r="D51">
        <v>1000</v>
      </c>
      <c r="E51">
        <v>1850</v>
      </c>
      <c r="F51">
        <v>2700</v>
      </c>
      <c r="G51">
        <v>1150</v>
      </c>
      <c r="H51">
        <v>2000</v>
      </c>
      <c r="I51">
        <v>2850</v>
      </c>
      <c r="J51">
        <v>3700</v>
      </c>
      <c r="K51">
        <v>1050</v>
      </c>
      <c r="L51">
        <v>1200</v>
      </c>
      <c r="M51">
        <v>2050</v>
      </c>
      <c r="N51">
        <v>1350</v>
      </c>
      <c r="O51">
        <v>2200</v>
      </c>
      <c r="P51">
        <v>3050</v>
      </c>
      <c r="Q51">
        <v>2500</v>
      </c>
      <c r="R51">
        <v>2650</v>
      </c>
      <c r="S51">
        <v>3500</v>
      </c>
      <c r="T51">
        <v>2800</v>
      </c>
      <c r="U51">
        <v>3650</v>
      </c>
      <c r="V51">
        <v>4500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</row>
    <row r="52" spans="1:88" x14ac:dyDescent="0.35">
      <c r="A52">
        <v>1000</v>
      </c>
      <c r="B52">
        <v>1150</v>
      </c>
      <c r="C52">
        <v>2000</v>
      </c>
      <c r="D52">
        <v>1300</v>
      </c>
      <c r="E52">
        <v>2150</v>
      </c>
      <c r="F52">
        <v>3000</v>
      </c>
      <c r="G52">
        <v>1450</v>
      </c>
      <c r="H52">
        <v>2300</v>
      </c>
      <c r="I52">
        <v>3150</v>
      </c>
      <c r="J52">
        <v>4000</v>
      </c>
      <c r="K52">
        <v>1350</v>
      </c>
      <c r="L52">
        <v>1500</v>
      </c>
      <c r="M52">
        <v>2350</v>
      </c>
      <c r="N52">
        <v>1650</v>
      </c>
      <c r="O52">
        <v>2500</v>
      </c>
      <c r="P52">
        <v>3350</v>
      </c>
      <c r="Q52">
        <v>2800</v>
      </c>
      <c r="R52">
        <v>2950</v>
      </c>
      <c r="S52">
        <v>3800</v>
      </c>
      <c r="T52">
        <v>3100</v>
      </c>
      <c r="U52">
        <v>3950</v>
      </c>
      <c r="V52">
        <v>4800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</row>
    <row r="53" spans="1:88" x14ac:dyDescent="0.35">
      <c r="A53">
        <v>650</v>
      </c>
      <c r="B53">
        <v>800</v>
      </c>
      <c r="C53">
        <v>1650</v>
      </c>
      <c r="D53">
        <v>950</v>
      </c>
      <c r="E53">
        <v>1800</v>
      </c>
      <c r="F53">
        <v>2650</v>
      </c>
      <c r="G53">
        <v>1100</v>
      </c>
      <c r="H53">
        <v>1950</v>
      </c>
      <c r="I53">
        <v>2800</v>
      </c>
      <c r="J53">
        <v>3650</v>
      </c>
      <c r="K53">
        <v>1000</v>
      </c>
      <c r="L53">
        <v>1150</v>
      </c>
      <c r="M53">
        <v>2000</v>
      </c>
      <c r="N53">
        <v>1300</v>
      </c>
      <c r="O53">
        <v>2150</v>
      </c>
      <c r="P53">
        <v>3000</v>
      </c>
      <c r="Q53">
        <v>2450</v>
      </c>
      <c r="R53">
        <v>2600</v>
      </c>
      <c r="S53">
        <v>3450</v>
      </c>
      <c r="T53">
        <v>2750</v>
      </c>
      <c r="U53">
        <v>3600</v>
      </c>
      <c r="V53">
        <v>4450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</row>
    <row r="54" spans="1:88" x14ac:dyDescent="0.35">
      <c r="A54">
        <v>1000</v>
      </c>
      <c r="B54">
        <v>1150</v>
      </c>
      <c r="C54">
        <v>2000</v>
      </c>
      <c r="D54">
        <v>1300</v>
      </c>
      <c r="E54">
        <v>2150</v>
      </c>
      <c r="F54">
        <v>3000</v>
      </c>
      <c r="G54">
        <v>1450</v>
      </c>
      <c r="H54">
        <v>2300</v>
      </c>
      <c r="I54">
        <v>3150</v>
      </c>
      <c r="J54">
        <v>4000</v>
      </c>
      <c r="K54">
        <v>1350</v>
      </c>
      <c r="L54">
        <v>1500</v>
      </c>
      <c r="M54">
        <v>2350</v>
      </c>
      <c r="N54">
        <v>1650</v>
      </c>
      <c r="O54">
        <v>2500</v>
      </c>
      <c r="P54">
        <v>3350</v>
      </c>
      <c r="Q54">
        <v>2800</v>
      </c>
      <c r="R54">
        <v>2950</v>
      </c>
      <c r="S54">
        <v>3800</v>
      </c>
      <c r="T54">
        <v>3100</v>
      </c>
      <c r="U54">
        <v>3950</v>
      </c>
      <c r="V54">
        <v>4800</v>
      </c>
      <c r="W54">
        <v>1400</v>
      </c>
      <c r="X54">
        <v>1550</v>
      </c>
      <c r="Y54">
        <v>2400</v>
      </c>
      <c r="Z54">
        <v>1700</v>
      </c>
      <c r="AA54">
        <v>2550</v>
      </c>
      <c r="AB54">
        <v>3400</v>
      </c>
      <c r="AC54">
        <v>1850</v>
      </c>
      <c r="AD54">
        <v>2700</v>
      </c>
      <c r="AE54">
        <v>3550</v>
      </c>
      <c r="AF54">
        <v>4400</v>
      </c>
      <c r="AG54">
        <v>1750</v>
      </c>
      <c r="AH54">
        <v>1900</v>
      </c>
      <c r="AI54">
        <v>2750</v>
      </c>
      <c r="AJ54">
        <v>2050</v>
      </c>
      <c r="AK54">
        <v>2900</v>
      </c>
      <c r="AL54">
        <v>3750</v>
      </c>
      <c r="AM54">
        <v>3200</v>
      </c>
      <c r="AN54">
        <v>3350</v>
      </c>
      <c r="AO54">
        <v>4200</v>
      </c>
      <c r="AP54">
        <v>3500</v>
      </c>
      <c r="AQ54">
        <v>4350</v>
      </c>
      <c r="AR54">
        <v>5200</v>
      </c>
      <c r="AS54">
        <v>2000</v>
      </c>
      <c r="AT54">
        <v>2150</v>
      </c>
      <c r="AU54">
        <v>3000</v>
      </c>
      <c r="AV54">
        <v>2300</v>
      </c>
      <c r="AW54">
        <v>3150</v>
      </c>
      <c r="AX54">
        <v>4000</v>
      </c>
      <c r="AY54">
        <v>2450</v>
      </c>
      <c r="AZ54">
        <v>3300</v>
      </c>
      <c r="BA54">
        <v>4150</v>
      </c>
      <c r="BB54">
        <v>5000</v>
      </c>
      <c r="BC54">
        <v>2350</v>
      </c>
      <c r="BD54">
        <v>2500</v>
      </c>
      <c r="BE54">
        <v>3350</v>
      </c>
      <c r="BF54">
        <v>2650</v>
      </c>
      <c r="BG54">
        <v>3500</v>
      </c>
      <c r="BH54">
        <v>4350</v>
      </c>
      <c r="BI54">
        <v>3800</v>
      </c>
      <c r="BJ54">
        <v>3950</v>
      </c>
      <c r="BK54">
        <v>4800</v>
      </c>
      <c r="BL54">
        <v>4100</v>
      </c>
      <c r="BM54">
        <v>4950</v>
      </c>
      <c r="BN54">
        <v>5800</v>
      </c>
      <c r="BO54">
        <v>2600</v>
      </c>
      <c r="BP54">
        <v>2750</v>
      </c>
      <c r="BQ54">
        <v>3600</v>
      </c>
      <c r="BR54">
        <v>2900</v>
      </c>
      <c r="BS54">
        <v>3750</v>
      </c>
      <c r="BT54">
        <v>4600</v>
      </c>
      <c r="BU54">
        <v>3050</v>
      </c>
      <c r="BV54">
        <v>3900</v>
      </c>
      <c r="BW54">
        <v>4750</v>
      </c>
      <c r="BX54">
        <v>5600</v>
      </c>
      <c r="BY54">
        <v>2950</v>
      </c>
      <c r="BZ54">
        <v>3100</v>
      </c>
      <c r="CA54">
        <v>3950</v>
      </c>
      <c r="CB54">
        <v>3250</v>
      </c>
      <c r="CC54">
        <v>4100</v>
      </c>
      <c r="CD54">
        <v>4950</v>
      </c>
      <c r="CE54">
        <v>4400</v>
      </c>
      <c r="CF54">
        <v>4550</v>
      </c>
      <c r="CG54">
        <v>5400</v>
      </c>
      <c r="CH54">
        <v>4700</v>
      </c>
      <c r="CI54">
        <v>5550</v>
      </c>
      <c r="CJ54">
        <v>6400</v>
      </c>
    </row>
    <row r="55" spans="1:88" x14ac:dyDescent="0.35">
      <c r="A55">
        <v>800</v>
      </c>
      <c r="B55">
        <v>950</v>
      </c>
      <c r="C55">
        <v>1800</v>
      </c>
      <c r="D55">
        <v>1100</v>
      </c>
      <c r="E55">
        <v>1950</v>
      </c>
      <c r="F55">
        <v>2800</v>
      </c>
      <c r="G55">
        <v>1250</v>
      </c>
      <c r="H55">
        <v>2100</v>
      </c>
      <c r="I55">
        <v>2950</v>
      </c>
      <c r="J55">
        <v>3800</v>
      </c>
      <c r="K55">
        <v>1150</v>
      </c>
      <c r="L55">
        <v>1300</v>
      </c>
      <c r="M55">
        <v>2150</v>
      </c>
      <c r="N55">
        <v>1450</v>
      </c>
      <c r="O55">
        <v>2300</v>
      </c>
      <c r="P55">
        <v>3150</v>
      </c>
      <c r="Q55">
        <v>2600</v>
      </c>
      <c r="R55">
        <v>2750</v>
      </c>
      <c r="S55">
        <v>3600</v>
      </c>
      <c r="T55">
        <v>2900</v>
      </c>
      <c r="U55">
        <v>3750</v>
      </c>
      <c r="V55">
        <v>4600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</row>
    <row r="56" spans="1:88" x14ac:dyDescent="0.35">
      <c r="A56">
        <v>450</v>
      </c>
      <c r="B56">
        <v>600</v>
      </c>
      <c r="C56">
        <v>1450</v>
      </c>
      <c r="D56">
        <v>750</v>
      </c>
      <c r="E56">
        <v>1600</v>
      </c>
      <c r="F56">
        <v>2450</v>
      </c>
      <c r="G56">
        <v>900</v>
      </c>
      <c r="H56">
        <v>1750</v>
      </c>
      <c r="I56">
        <v>2600</v>
      </c>
      <c r="J56">
        <v>3450</v>
      </c>
      <c r="K56">
        <v>800</v>
      </c>
      <c r="L56">
        <v>950</v>
      </c>
      <c r="M56">
        <v>1800</v>
      </c>
      <c r="N56">
        <v>1100</v>
      </c>
      <c r="O56">
        <v>1950</v>
      </c>
      <c r="P56">
        <v>2800</v>
      </c>
      <c r="Q56">
        <v>2250</v>
      </c>
      <c r="R56">
        <v>2400</v>
      </c>
      <c r="S56">
        <v>3250</v>
      </c>
      <c r="T56">
        <v>2550</v>
      </c>
      <c r="U56">
        <v>3400</v>
      </c>
      <c r="V56">
        <v>4250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</row>
    <row r="57" spans="1:88" x14ac:dyDescent="0.35">
      <c r="A57">
        <v>600</v>
      </c>
      <c r="B57">
        <v>750</v>
      </c>
      <c r="C57">
        <v>1600</v>
      </c>
      <c r="D57">
        <v>900</v>
      </c>
      <c r="E57">
        <v>1750</v>
      </c>
      <c r="F57">
        <v>2600</v>
      </c>
      <c r="G57">
        <v>1050</v>
      </c>
      <c r="H57">
        <v>1900</v>
      </c>
      <c r="I57">
        <v>2750</v>
      </c>
      <c r="J57">
        <v>3600</v>
      </c>
      <c r="K57">
        <v>950</v>
      </c>
      <c r="L57">
        <v>1100</v>
      </c>
      <c r="M57">
        <v>1950</v>
      </c>
      <c r="N57">
        <v>1250</v>
      </c>
      <c r="O57">
        <v>2100</v>
      </c>
      <c r="P57">
        <v>2950</v>
      </c>
      <c r="Q57">
        <v>2400</v>
      </c>
      <c r="R57">
        <v>2550</v>
      </c>
      <c r="S57">
        <v>3400</v>
      </c>
      <c r="T57">
        <v>2700</v>
      </c>
      <c r="U57">
        <v>3550</v>
      </c>
      <c r="V57">
        <v>4400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3EE95-300D-42B5-A251-79165EFEAFAF}">
  <sheetPr codeName="Sheet16"/>
  <dimension ref="A1:CJ57"/>
  <sheetViews>
    <sheetView workbookViewId="0">
      <selection activeCell="E29" sqref="E29"/>
    </sheetView>
  </sheetViews>
  <sheetFormatPr defaultRowHeight="14.5" x14ac:dyDescent="0.35"/>
  <sheetData>
    <row r="1" spans="1:88" x14ac:dyDescent="0.35">
      <c r="A1">
        <v>2106</v>
      </c>
      <c r="B1">
        <v>2256</v>
      </c>
      <c r="C1">
        <v>3106</v>
      </c>
      <c r="D1">
        <v>2406</v>
      </c>
      <c r="E1">
        <v>3256</v>
      </c>
      <c r="F1">
        <v>4106</v>
      </c>
      <c r="G1">
        <v>2556</v>
      </c>
      <c r="H1">
        <v>3406</v>
      </c>
      <c r="I1">
        <v>4256</v>
      </c>
      <c r="J1">
        <v>5106</v>
      </c>
      <c r="K1">
        <v>2456</v>
      </c>
      <c r="L1">
        <v>2606</v>
      </c>
      <c r="M1">
        <v>3456</v>
      </c>
      <c r="N1">
        <v>2756</v>
      </c>
      <c r="O1">
        <v>3606</v>
      </c>
      <c r="P1">
        <v>4456</v>
      </c>
      <c r="Q1">
        <v>3906</v>
      </c>
      <c r="R1">
        <v>4056</v>
      </c>
      <c r="S1">
        <v>4906</v>
      </c>
      <c r="T1">
        <v>4206</v>
      </c>
      <c r="U1">
        <v>5056</v>
      </c>
      <c r="V1">
        <v>5906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</row>
    <row r="2" spans="1:88" x14ac:dyDescent="0.35">
      <c r="A2">
        <v>2754</v>
      </c>
      <c r="B2">
        <v>2904</v>
      </c>
      <c r="C2">
        <v>3754</v>
      </c>
      <c r="D2">
        <v>3054</v>
      </c>
      <c r="E2">
        <v>3904</v>
      </c>
      <c r="F2">
        <v>4754</v>
      </c>
      <c r="G2">
        <v>3204</v>
      </c>
      <c r="H2">
        <v>4054</v>
      </c>
      <c r="I2">
        <v>4904</v>
      </c>
      <c r="J2">
        <v>5754</v>
      </c>
      <c r="K2">
        <v>3104</v>
      </c>
      <c r="L2">
        <v>3254</v>
      </c>
      <c r="M2">
        <v>4104</v>
      </c>
      <c r="N2">
        <v>3404</v>
      </c>
      <c r="O2">
        <v>4254</v>
      </c>
      <c r="P2">
        <v>5104</v>
      </c>
      <c r="Q2">
        <v>4554</v>
      </c>
      <c r="R2">
        <v>4704</v>
      </c>
      <c r="S2">
        <v>5554</v>
      </c>
      <c r="T2">
        <v>4854</v>
      </c>
      <c r="U2">
        <v>5704</v>
      </c>
      <c r="V2">
        <v>6554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</row>
    <row r="3" spans="1:88" x14ac:dyDescent="0.35">
      <c r="A3">
        <v>2106</v>
      </c>
      <c r="B3">
        <v>2256</v>
      </c>
      <c r="C3">
        <v>3106</v>
      </c>
      <c r="D3">
        <v>2406</v>
      </c>
      <c r="E3">
        <v>3256</v>
      </c>
      <c r="F3">
        <v>4106</v>
      </c>
      <c r="G3">
        <v>2556</v>
      </c>
      <c r="H3">
        <v>3406</v>
      </c>
      <c r="I3">
        <v>4256</v>
      </c>
      <c r="J3">
        <v>5106</v>
      </c>
      <c r="K3">
        <v>2456</v>
      </c>
      <c r="L3">
        <v>2606</v>
      </c>
      <c r="M3">
        <v>3456</v>
      </c>
      <c r="N3">
        <v>2756</v>
      </c>
      <c r="O3">
        <v>3606</v>
      </c>
      <c r="P3">
        <v>4456</v>
      </c>
      <c r="Q3">
        <v>3906</v>
      </c>
      <c r="R3">
        <v>4056</v>
      </c>
      <c r="S3">
        <v>4906</v>
      </c>
      <c r="T3">
        <v>4206</v>
      </c>
      <c r="U3">
        <v>5056</v>
      </c>
      <c r="V3">
        <v>5906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</row>
    <row r="4" spans="1:88" x14ac:dyDescent="0.35">
      <c r="A4">
        <v>1944</v>
      </c>
      <c r="B4">
        <v>2094</v>
      </c>
      <c r="C4">
        <v>2944</v>
      </c>
      <c r="D4">
        <v>2244</v>
      </c>
      <c r="E4">
        <v>3094</v>
      </c>
      <c r="F4">
        <v>3944</v>
      </c>
      <c r="G4">
        <v>2394</v>
      </c>
      <c r="H4">
        <v>3244</v>
      </c>
      <c r="I4">
        <v>4094</v>
      </c>
      <c r="J4">
        <v>4944</v>
      </c>
      <c r="K4">
        <v>2294</v>
      </c>
      <c r="L4">
        <v>2444</v>
      </c>
      <c r="M4">
        <v>3294</v>
      </c>
      <c r="N4">
        <v>2594</v>
      </c>
      <c r="O4">
        <v>3444</v>
      </c>
      <c r="P4">
        <v>4294</v>
      </c>
      <c r="Q4">
        <v>3744</v>
      </c>
      <c r="R4">
        <v>3894</v>
      </c>
      <c r="S4">
        <v>4744</v>
      </c>
      <c r="T4">
        <v>4044</v>
      </c>
      <c r="U4">
        <v>4894</v>
      </c>
      <c r="V4">
        <v>5744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</row>
    <row r="5" spans="1:88" x14ac:dyDescent="0.35">
      <c r="A5">
        <v>1944</v>
      </c>
      <c r="B5">
        <v>2094</v>
      </c>
      <c r="C5">
        <v>2944</v>
      </c>
      <c r="D5">
        <v>2244</v>
      </c>
      <c r="E5">
        <v>3094</v>
      </c>
      <c r="F5">
        <v>3944</v>
      </c>
      <c r="G5">
        <v>2394</v>
      </c>
      <c r="H5">
        <v>3244</v>
      </c>
      <c r="I5">
        <v>4094</v>
      </c>
      <c r="J5">
        <v>4944</v>
      </c>
      <c r="K5">
        <v>2294</v>
      </c>
      <c r="L5">
        <v>2444</v>
      </c>
      <c r="M5">
        <v>3294</v>
      </c>
      <c r="N5">
        <v>2594</v>
      </c>
      <c r="O5">
        <v>3444</v>
      </c>
      <c r="P5">
        <v>4294</v>
      </c>
      <c r="Q5">
        <v>3744</v>
      </c>
      <c r="R5">
        <v>3894</v>
      </c>
      <c r="S5">
        <v>4744</v>
      </c>
      <c r="T5">
        <v>4044</v>
      </c>
      <c r="U5">
        <v>4894</v>
      </c>
      <c r="V5">
        <v>5744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</row>
    <row r="6" spans="1:88" x14ac:dyDescent="0.35">
      <c r="A6">
        <v>2430</v>
      </c>
      <c r="B6">
        <v>2580</v>
      </c>
      <c r="C6">
        <v>3430</v>
      </c>
      <c r="D6">
        <v>2730</v>
      </c>
      <c r="E6">
        <v>3580</v>
      </c>
      <c r="F6">
        <v>4430</v>
      </c>
      <c r="G6">
        <v>2880</v>
      </c>
      <c r="H6">
        <v>3730</v>
      </c>
      <c r="I6">
        <v>4580</v>
      </c>
      <c r="J6">
        <v>5430</v>
      </c>
      <c r="K6">
        <v>2780</v>
      </c>
      <c r="L6">
        <v>2930</v>
      </c>
      <c r="M6">
        <v>3780</v>
      </c>
      <c r="N6">
        <v>3080</v>
      </c>
      <c r="O6">
        <v>3930</v>
      </c>
      <c r="P6">
        <v>4780</v>
      </c>
      <c r="Q6">
        <v>4230</v>
      </c>
      <c r="R6">
        <v>4380</v>
      </c>
      <c r="S6">
        <v>5230</v>
      </c>
      <c r="T6">
        <v>4530</v>
      </c>
      <c r="U6">
        <v>5380</v>
      </c>
      <c r="V6">
        <v>6230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</row>
    <row r="7" spans="1:88" x14ac:dyDescent="0.35">
      <c r="A7">
        <v>2268</v>
      </c>
      <c r="B7">
        <v>2418</v>
      </c>
      <c r="C7">
        <v>3268</v>
      </c>
      <c r="D7">
        <v>2568</v>
      </c>
      <c r="E7">
        <v>3418</v>
      </c>
      <c r="F7">
        <v>4268</v>
      </c>
      <c r="G7">
        <v>2718</v>
      </c>
      <c r="H7">
        <v>3568</v>
      </c>
      <c r="I7">
        <v>4418</v>
      </c>
      <c r="J7">
        <v>5268</v>
      </c>
      <c r="K7">
        <v>2618</v>
      </c>
      <c r="L7">
        <v>2768</v>
      </c>
      <c r="M7">
        <v>3618</v>
      </c>
      <c r="N7">
        <v>2918</v>
      </c>
      <c r="O7">
        <v>3768</v>
      </c>
      <c r="P7">
        <v>4618</v>
      </c>
      <c r="Q7">
        <v>4068</v>
      </c>
      <c r="R7">
        <v>4218</v>
      </c>
      <c r="S7">
        <v>5068</v>
      </c>
      <c r="T7">
        <v>4368</v>
      </c>
      <c r="U7">
        <v>5218</v>
      </c>
      <c r="V7">
        <v>6068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</row>
    <row r="8" spans="1:88" x14ac:dyDescent="0.35">
      <c r="A8">
        <v>2592</v>
      </c>
      <c r="B8">
        <v>2742</v>
      </c>
      <c r="C8">
        <v>3592</v>
      </c>
      <c r="D8">
        <v>2892</v>
      </c>
      <c r="E8">
        <v>3742</v>
      </c>
      <c r="F8">
        <v>4592</v>
      </c>
      <c r="G8">
        <v>3042</v>
      </c>
      <c r="H8">
        <v>3892</v>
      </c>
      <c r="I8">
        <v>4742</v>
      </c>
      <c r="J8">
        <v>5592</v>
      </c>
      <c r="K8">
        <v>2942</v>
      </c>
      <c r="L8">
        <v>3092</v>
      </c>
      <c r="M8">
        <v>3942</v>
      </c>
      <c r="N8">
        <v>3242</v>
      </c>
      <c r="O8">
        <v>4092</v>
      </c>
      <c r="P8">
        <v>4942</v>
      </c>
      <c r="Q8">
        <v>4392</v>
      </c>
      <c r="R8">
        <v>4542</v>
      </c>
      <c r="S8">
        <v>5392</v>
      </c>
      <c r="T8">
        <v>4692</v>
      </c>
      <c r="U8">
        <v>5542</v>
      </c>
      <c r="V8">
        <v>6392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</row>
    <row r="9" spans="1:88" x14ac:dyDescent="0.35">
      <c r="A9">
        <v>3240</v>
      </c>
      <c r="B9">
        <v>3390</v>
      </c>
      <c r="C9">
        <v>4240</v>
      </c>
      <c r="D9">
        <v>3540</v>
      </c>
      <c r="E9">
        <v>4390</v>
      </c>
      <c r="F9">
        <v>5240</v>
      </c>
      <c r="G9">
        <v>3690</v>
      </c>
      <c r="H9">
        <v>4540</v>
      </c>
      <c r="I9">
        <v>5390</v>
      </c>
      <c r="J9">
        <v>6240</v>
      </c>
      <c r="K9">
        <v>3590</v>
      </c>
      <c r="L9">
        <v>3740</v>
      </c>
      <c r="M9">
        <v>4590</v>
      </c>
      <c r="N9">
        <v>3890</v>
      </c>
      <c r="O9">
        <v>4740</v>
      </c>
      <c r="P9">
        <v>5590</v>
      </c>
      <c r="Q9">
        <v>5040</v>
      </c>
      <c r="R9">
        <v>5190</v>
      </c>
      <c r="S9">
        <v>6040</v>
      </c>
      <c r="T9">
        <v>5340</v>
      </c>
      <c r="U9">
        <v>6190</v>
      </c>
      <c r="V9">
        <v>7040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</row>
    <row r="10" spans="1:88" x14ac:dyDescent="0.35">
      <c r="A10">
        <v>3402</v>
      </c>
      <c r="B10">
        <v>3552</v>
      </c>
      <c r="C10">
        <v>4402</v>
      </c>
      <c r="D10">
        <v>3702</v>
      </c>
      <c r="E10">
        <v>4552</v>
      </c>
      <c r="F10">
        <v>5402</v>
      </c>
      <c r="G10">
        <v>3852</v>
      </c>
      <c r="H10">
        <v>4702</v>
      </c>
      <c r="I10">
        <v>5552</v>
      </c>
      <c r="J10">
        <v>6402</v>
      </c>
      <c r="K10">
        <v>3752</v>
      </c>
      <c r="L10">
        <v>3902</v>
      </c>
      <c r="M10">
        <v>4752</v>
      </c>
      <c r="N10">
        <v>4052</v>
      </c>
      <c r="O10">
        <v>4902</v>
      </c>
      <c r="P10">
        <v>5752</v>
      </c>
      <c r="Q10">
        <v>5202</v>
      </c>
      <c r="R10">
        <v>5352</v>
      </c>
      <c r="S10">
        <v>6202</v>
      </c>
      <c r="T10">
        <v>5502</v>
      </c>
      <c r="U10">
        <v>6352</v>
      </c>
      <c r="V10">
        <v>7202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</row>
    <row r="11" spans="1:88" x14ac:dyDescent="0.35">
      <c r="A11">
        <v>2430</v>
      </c>
      <c r="B11">
        <v>2580</v>
      </c>
      <c r="C11">
        <v>3430</v>
      </c>
      <c r="D11">
        <v>2730</v>
      </c>
      <c r="E11">
        <v>3580</v>
      </c>
      <c r="F11">
        <v>4430</v>
      </c>
      <c r="G11">
        <v>2880</v>
      </c>
      <c r="H11">
        <v>3730</v>
      </c>
      <c r="I11">
        <v>4580</v>
      </c>
      <c r="J11">
        <v>5430</v>
      </c>
      <c r="K11">
        <v>2780</v>
      </c>
      <c r="L11">
        <v>2930</v>
      </c>
      <c r="M11">
        <v>3780</v>
      </c>
      <c r="N11">
        <v>3080</v>
      </c>
      <c r="O11">
        <v>3930</v>
      </c>
      <c r="P11">
        <v>4780</v>
      </c>
      <c r="Q11">
        <v>4230</v>
      </c>
      <c r="R11">
        <v>4380</v>
      </c>
      <c r="S11">
        <v>5230</v>
      </c>
      <c r="T11">
        <v>4530</v>
      </c>
      <c r="U11">
        <v>5380</v>
      </c>
      <c r="V11">
        <v>6230</v>
      </c>
      <c r="W11">
        <v>2830</v>
      </c>
      <c r="X11">
        <v>2980</v>
      </c>
      <c r="Y11">
        <v>3830</v>
      </c>
      <c r="Z11">
        <v>3130</v>
      </c>
      <c r="AA11">
        <v>3980</v>
      </c>
      <c r="AB11">
        <v>4830</v>
      </c>
      <c r="AC11">
        <v>3280</v>
      </c>
      <c r="AD11">
        <v>4130</v>
      </c>
      <c r="AE11">
        <v>4980</v>
      </c>
      <c r="AF11">
        <v>5830</v>
      </c>
      <c r="AG11">
        <v>3180</v>
      </c>
      <c r="AH11">
        <v>3330</v>
      </c>
      <c r="AI11">
        <v>4180</v>
      </c>
      <c r="AJ11">
        <v>3480</v>
      </c>
      <c r="AK11">
        <v>4330</v>
      </c>
      <c r="AL11">
        <v>5180</v>
      </c>
      <c r="AM11">
        <v>4630</v>
      </c>
      <c r="AN11">
        <v>4780</v>
      </c>
      <c r="AO11">
        <v>5630</v>
      </c>
      <c r="AP11">
        <v>4930</v>
      </c>
      <c r="AQ11">
        <v>5780</v>
      </c>
      <c r="AR11">
        <v>6630</v>
      </c>
      <c r="AS11">
        <v>3430</v>
      </c>
      <c r="AT11">
        <v>3580</v>
      </c>
      <c r="AU11">
        <v>4430</v>
      </c>
      <c r="AV11">
        <v>3730</v>
      </c>
      <c r="AW11">
        <v>4580</v>
      </c>
      <c r="AX11">
        <v>5430</v>
      </c>
      <c r="AY11">
        <v>3880</v>
      </c>
      <c r="AZ11">
        <v>4730</v>
      </c>
      <c r="BA11">
        <v>5580</v>
      </c>
      <c r="BB11">
        <v>6430</v>
      </c>
      <c r="BC11">
        <v>3780</v>
      </c>
      <c r="BD11">
        <v>3930</v>
      </c>
      <c r="BE11">
        <v>4780</v>
      </c>
      <c r="BF11">
        <v>4080</v>
      </c>
      <c r="BG11">
        <v>4930</v>
      </c>
      <c r="BH11">
        <v>5780</v>
      </c>
      <c r="BI11">
        <v>5230</v>
      </c>
      <c r="BJ11">
        <v>5380</v>
      </c>
      <c r="BK11">
        <v>6230</v>
      </c>
      <c r="BL11">
        <v>5530</v>
      </c>
      <c r="BM11">
        <v>6380</v>
      </c>
      <c r="BN11">
        <v>7230</v>
      </c>
      <c r="BO11">
        <v>4030</v>
      </c>
      <c r="BP11">
        <v>4180</v>
      </c>
      <c r="BQ11">
        <v>5030</v>
      </c>
      <c r="BR11">
        <v>4330</v>
      </c>
      <c r="BS11">
        <v>5180</v>
      </c>
      <c r="BT11">
        <v>6030</v>
      </c>
      <c r="BU11">
        <v>4480</v>
      </c>
      <c r="BV11">
        <v>5330</v>
      </c>
      <c r="BW11">
        <v>6180</v>
      </c>
      <c r="BX11">
        <v>7030</v>
      </c>
      <c r="BY11">
        <v>4380</v>
      </c>
      <c r="BZ11">
        <v>4530</v>
      </c>
      <c r="CA11">
        <v>5380</v>
      </c>
      <c r="CB11">
        <v>4680</v>
      </c>
      <c r="CC11">
        <v>5530</v>
      </c>
      <c r="CD11">
        <v>6380</v>
      </c>
      <c r="CE11">
        <v>5830</v>
      </c>
      <c r="CF11">
        <v>5980</v>
      </c>
      <c r="CG11">
        <v>6830</v>
      </c>
      <c r="CH11">
        <v>6130</v>
      </c>
      <c r="CI11">
        <v>6980</v>
      </c>
      <c r="CJ11">
        <v>7830</v>
      </c>
    </row>
    <row r="12" spans="1:88" x14ac:dyDescent="0.35">
      <c r="A12">
        <v>3078</v>
      </c>
      <c r="B12">
        <v>3228</v>
      </c>
      <c r="C12">
        <v>4078</v>
      </c>
      <c r="D12">
        <v>3378</v>
      </c>
      <c r="E12">
        <v>4228</v>
      </c>
      <c r="F12">
        <v>5078</v>
      </c>
      <c r="G12">
        <v>3528</v>
      </c>
      <c r="H12">
        <v>4378</v>
      </c>
      <c r="I12">
        <v>5228</v>
      </c>
      <c r="J12">
        <v>6078</v>
      </c>
      <c r="K12">
        <v>3428</v>
      </c>
      <c r="L12">
        <v>3578</v>
      </c>
      <c r="M12">
        <v>4428</v>
      </c>
      <c r="N12">
        <v>3728</v>
      </c>
      <c r="O12">
        <v>4578</v>
      </c>
      <c r="P12">
        <v>5428</v>
      </c>
      <c r="Q12">
        <v>4878</v>
      </c>
      <c r="R12">
        <v>5028</v>
      </c>
      <c r="S12">
        <v>5878</v>
      </c>
      <c r="T12">
        <v>5178</v>
      </c>
      <c r="U12">
        <v>6028</v>
      </c>
      <c r="V12">
        <v>6878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</row>
    <row r="13" spans="1:88" x14ac:dyDescent="0.35">
      <c r="A13">
        <v>2430</v>
      </c>
      <c r="B13">
        <v>2580</v>
      </c>
      <c r="C13">
        <v>3430</v>
      </c>
      <c r="D13">
        <v>2730</v>
      </c>
      <c r="E13">
        <v>3580</v>
      </c>
      <c r="F13">
        <v>4430</v>
      </c>
      <c r="G13">
        <v>2880</v>
      </c>
      <c r="H13">
        <v>3730</v>
      </c>
      <c r="I13">
        <v>4580</v>
      </c>
      <c r="J13">
        <v>5430</v>
      </c>
      <c r="K13">
        <v>2780</v>
      </c>
      <c r="L13">
        <v>2930</v>
      </c>
      <c r="M13">
        <v>3780</v>
      </c>
      <c r="N13">
        <v>3080</v>
      </c>
      <c r="O13">
        <v>3930</v>
      </c>
      <c r="P13">
        <v>4780</v>
      </c>
      <c r="Q13">
        <v>4230</v>
      </c>
      <c r="R13">
        <v>4380</v>
      </c>
      <c r="S13">
        <v>5230</v>
      </c>
      <c r="T13">
        <v>4530</v>
      </c>
      <c r="U13">
        <v>5380</v>
      </c>
      <c r="V13">
        <v>6230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</row>
    <row r="14" spans="1:88" x14ac:dyDescent="0.35">
      <c r="A14">
        <v>2592</v>
      </c>
      <c r="B14">
        <v>2742</v>
      </c>
      <c r="C14">
        <v>3592</v>
      </c>
      <c r="D14">
        <v>2892</v>
      </c>
      <c r="E14">
        <v>3742</v>
      </c>
      <c r="F14">
        <v>4592</v>
      </c>
      <c r="G14">
        <v>3042</v>
      </c>
      <c r="H14">
        <v>3892</v>
      </c>
      <c r="I14">
        <v>4742</v>
      </c>
      <c r="J14">
        <v>5592</v>
      </c>
      <c r="K14">
        <v>2942</v>
      </c>
      <c r="L14">
        <v>3092</v>
      </c>
      <c r="M14">
        <v>3942</v>
      </c>
      <c r="N14">
        <v>3242</v>
      </c>
      <c r="O14">
        <v>4092</v>
      </c>
      <c r="P14">
        <v>4942</v>
      </c>
      <c r="Q14">
        <v>4392</v>
      </c>
      <c r="R14">
        <v>4542</v>
      </c>
      <c r="S14">
        <v>5392</v>
      </c>
      <c r="T14">
        <v>4692</v>
      </c>
      <c r="U14">
        <v>5542</v>
      </c>
      <c r="V14">
        <v>6392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</row>
    <row r="15" spans="1:88" x14ac:dyDescent="0.35">
      <c r="A15">
        <v>2430</v>
      </c>
      <c r="B15">
        <v>2580</v>
      </c>
      <c r="C15">
        <v>3430</v>
      </c>
      <c r="D15">
        <v>2730</v>
      </c>
      <c r="E15">
        <v>3580</v>
      </c>
      <c r="F15">
        <v>4430</v>
      </c>
      <c r="G15">
        <v>2880</v>
      </c>
      <c r="H15">
        <v>3730</v>
      </c>
      <c r="I15">
        <v>4580</v>
      </c>
      <c r="J15">
        <v>5430</v>
      </c>
      <c r="K15">
        <v>2780</v>
      </c>
      <c r="L15">
        <v>2930</v>
      </c>
      <c r="M15">
        <v>3780</v>
      </c>
      <c r="N15">
        <v>3080</v>
      </c>
      <c r="O15">
        <v>3930</v>
      </c>
      <c r="P15">
        <v>4780</v>
      </c>
      <c r="Q15">
        <v>4230</v>
      </c>
      <c r="R15">
        <v>4380</v>
      </c>
      <c r="S15">
        <v>5230</v>
      </c>
      <c r="T15">
        <v>4530</v>
      </c>
      <c r="U15">
        <v>5380</v>
      </c>
      <c r="V15">
        <v>6230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</row>
    <row r="16" spans="1:88" x14ac:dyDescent="0.35">
      <c r="A16">
        <v>3078</v>
      </c>
      <c r="B16">
        <v>3228</v>
      </c>
      <c r="C16">
        <v>4078</v>
      </c>
      <c r="D16">
        <v>3378</v>
      </c>
      <c r="E16">
        <v>4228</v>
      </c>
      <c r="F16">
        <v>5078</v>
      </c>
      <c r="G16">
        <v>3528</v>
      </c>
      <c r="H16">
        <v>4378</v>
      </c>
      <c r="I16">
        <v>5228</v>
      </c>
      <c r="J16">
        <v>6078</v>
      </c>
      <c r="K16">
        <v>3428</v>
      </c>
      <c r="L16">
        <v>3578</v>
      </c>
      <c r="M16">
        <v>4428</v>
      </c>
      <c r="N16">
        <v>3728</v>
      </c>
      <c r="O16">
        <v>4578</v>
      </c>
      <c r="P16">
        <v>5428</v>
      </c>
      <c r="Q16">
        <v>4878</v>
      </c>
      <c r="R16">
        <v>5028</v>
      </c>
      <c r="S16">
        <v>5878</v>
      </c>
      <c r="T16">
        <v>5178</v>
      </c>
      <c r="U16">
        <v>6028</v>
      </c>
      <c r="V16">
        <v>6878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</row>
    <row r="17" spans="1:88" x14ac:dyDescent="0.35">
      <c r="A17">
        <v>3078</v>
      </c>
      <c r="B17">
        <v>3228</v>
      </c>
      <c r="C17">
        <v>4078</v>
      </c>
      <c r="D17">
        <v>3378</v>
      </c>
      <c r="E17">
        <v>4228</v>
      </c>
      <c r="F17">
        <v>5078</v>
      </c>
      <c r="G17">
        <v>3528</v>
      </c>
      <c r="H17">
        <v>4378</v>
      </c>
      <c r="I17">
        <v>5228</v>
      </c>
      <c r="J17">
        <v>6078</v>
      </c>
      <c r="K17">
        <v>3428</v>
      </c>
      <c r="L17">
        <v>3578</v>
      </c>
      <c r="M17">
        <v>4428</v>
      </c>
      <c r="N17">
        <v>3728</v>
      </c>
      <c r="O17">
        <v>4578</v>
      </c>
      <c r="P17">
        <v>5428</v>
      </c>
      <c r="Q17">
        <v>4878</v>
      </c>
      <c r="R17">
        <v>5028</v>
      </c>
      <c r="S17">
        <v>5878</v>
      </c>
      <c r="T17">
        <v>5178</v>
      </c>
      <c r="U17">
        <v>6028</v>
      </c>
      <c r="V17">
        <v>6878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</row>
    <row r="18" spans="1:88" x14ac:dyDescent="0.35">
      <c r="A18">
        <v>1620</v>
      </c>
      <c r="B18">
        <v>1770</v>
      </c>
      <c r="C18">
        <v>2620</v>
      </c>
      <c r="D18">
        <v>1920</v>
      </c>
      <c r="E18">
        <v>2770</v>
      </c>
      <c r="F18">
        <v>3620</v>
      </c>
      <c r="G18">
        <v>2070</v>
      </c>
      <c r="H18">
        <v>2920</v>
      </c>
      <c r="I18">
        <v>3770</v>
      </c>
      <c r="J18">
        <v>4620</v>
      </c>
      <c r="K18">
        <v>1970</v>
      </c>
      <c r="L18">
        <v>2120</v>
      </c>
      <c r="M18">
        <v>2970</v>
      </c>
      <c r="N18">
        <v>2270</v>
      </c>
      <c r="O18">
        <v>3120</v>
      </c>
      <c r="P18">
        <v>3970</v>
      </c>
      <c r="Q18">
        <v>3420</v>
      </c>
      <c r="R18">
        <v>3570</v>
      </c>
      <c r="S18">
        <v>4420</v>
      </c>
      <c r="T18">
        <v>3720</v>
      </c>
      <c r="U18">
        <v>4570</v>
      </c>
      <c r="V18">
        <v>5420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</row>
    <row r="19" spans="1:88" x14ac:dyDescent="0.35">
      <c r="A19">
        <v>2268</v>
      </c>
      <c r="B19">
        <v>2418</v>
      </c>
      <c r="C19">
        <v>3268</v>
      </c>
      <c r="D19">
        <v>2568</v>
      </c>
      <c r="E19">
        <v>3418</v>
      </c>
      <c r="F19">
        <v>4268</v>
      </c>
      <c r="G19">
        <v>2718</v>
      </c>
      <c r="H19">
        <v>3568</v>
      </c>
      <c r="I19">
        <v>4418</v>
      </c>
      <c r="J19">
        <v>5268</v>
      </c>
      <c r="K19">
        <v>2618</v>
      </c>
      <c r="L19">
        <v>2768</v>
      </c>
      <c r="M19">
        <v>3618</v>
      </c>
      <c r="N19">
        <v>2918</v>
      </c>
      <c r="O19">
        <v>3768</v>
      </c>
      <c r="P19">
        <v>4618</v>
      </c>
      <c r="Q19">
        <v>4068</v>
      </c>
      <c r="R19">
        <v>4218</v>
      </c>
      <c r="S19">
        <v>5068</v>
      </c>
      <c r="T19">
        <v>4368</v>
      </c>
      <c r="U19">
        <v>5218</v>
      </c>
      <c r="V19">
        <v>6068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</row>
    <row r="20" spans="1:88" x14ac:dyDescent="0.35">
      <c r="A20">
        <v>2592</v>
      </c>
      <c r="B20">
        <v>2742</v>
      </c>
      <c r="C20">
        <v>3592</v>
      </c>
      <c r="D20">
        <v>2892</v>
      </c>
      <c r="E20">
        <v>3742</v>
      </c>
      <c r="F20">
        <v>4592</v>
      </c>
      <c r="G20">
        <v>3042</v>
      </c>
      <c r="H20">
        <v>3892</v>
      </c>
      <c r="I20">
        <v>4742</v>
      </c>
      <c r="J20">
        <v>5592</v>
      </c>
      <c r="K20">
        <v>2942</v>
      </c>
      <c r="L20">
        <v>3092</v>
      </c>
      <c r="M20">
        <v>3942</v>
      </c>
      <c r="N20">
        <v>3242</v>
      </c>
      <c r="O20">
        <v>4092</v>
      </c>
      <c r="P20">
        <v>4942</v>
      </c>
      <c r="Q20">
        <v>4392</v>
      </c>
      <c r="R20">
        <v>4542</v>
      </c>
      <c r="S20">
        <v>5392</v>
      </c>
      <c r="T20">
        <v>4692</v>
      </c>
      <c r="U20">
        <v>5542</v>
      </c>
      <c r="V20">
        <v>6392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</row>
    <row r="21" spans="1:88" x14ac:dyDescent="0.35">
      <c r="A21">
        <v>1944</v>
      </c>
      <c r="B21">
        <v>2094</v>
      </c>
      <c r="C21">
        <v>2944</v>
      </c>
      <c r="D21">
        <v>2244</v>
      </c>
      <c r="E21">
        <v>3094</v>
      </c>
      <c r="F21">
        <v>3944</v>
      </c>
      <c r="G21">
        <v>2394</v>
      </c>
      <c r="H21">
        <v>3244</v>
      </c>
      <c r="I21">
        <v>4094</v>
      </c>
      <c r="J21">
        <v>4944</v>
      </c>
      <c r="K21">
        <v>2294</v>
      </c>
      <c r="L21">
        <v>2444</v>
      </c>
      <c r="M21">
        <v>3294</v>
      </c>
      <c r="N21">
        <v>2594</v>
      </c>
      <c r="O21">
        <v>3444</v>
      </c>
      <c r="P21">
        <v>4294</v>
      </c>
      <c r="Q21">
        <v>3744</v>
      </c>
      <c r="R21">
        <v>3894</v>
      </c>
      <c r="S21">
        <v>4744</v>
      </c>
      <c r="T21">
        <v>4044</v>
      </c>
      <c r="U21">
        <v>4894</v>
      </c>
      <c r="V21">
        <v>5744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</row>
    <row r="22" spans="1:88" x14ac:dyDescent="0.35">
      <c r="A22">
        <v>1620</v>
      </c>
      <c r="B22">
        <v>1770</v>
      </c>
      <c r="C22">
        <v>2620</v>
      </c>
      <c r="D22">
        <v>1920</v>
      </c>
      <c r="E22">
        <v>2770</v>
      </c>
      <c r="F22">
        <v>3620</v>
      </c>
      <c r="G22">
        <v>2070</v>
      </c>
      <c r="H22">
        <v>2920</v>
      </c>
      <c r="I22">
        <v>3770</v>
      </c>
      <c r="J22">
        <v>4620</v>
      </c>
      <c r="K22">
        <v>1970</v>
      </c>
      <c r="L22">
        <v>2120</v>
      </c>
      <c r="M22">
        <v>2970</v>
      </c>
      <c r="N22">
        <v>2270</v>
      </c>
      <c r="O22">
        <v>3120</v>
      </c>
      <c r="P22">
        <v>3970</v>
      </c>
      <c r="Q22">
        <v>3420</v>
      </c>
      <c r="R22">
        <v>3570</v>
      </c>
      <c r="S22">
        <v>4420</v>
      </c>
      <c r="T22">
        <v>3720</v>
      </c>
      <c r="U22">
        <v>4570</v>
      </c>
      <c r="V22">
        <v>5420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</row>
    <row r="23" spans="1:88" x14ac:dyDescent="0.35">
      <c r="A23">
        <v>1296</v>
      </c>
      <c r="B23">
        <v>1446</v>
      </c>
      <c r="C23">
        <v>2296</v>
      </c>
      <c r="D23">
        <v>1596</v>
      </c>
      <c r="E23">
        <v>2446</v>
      </c>
      <c r="F23">
        <v>3296</v>
      </c>
      <c r="G23">
        <v>1746</v>
      </c>
      <c r="H23">
        <v>2596</v>
      </c>
      <c r="I23">
        <v>3446</v>
      </c>
      <c r="J23">
        <v>4296</v>
      </c>
      <c r="K23">
        <v>1646</v>
      </c>
      <c r="L23">
        <v>1796</v>
      </c>
      <c r="M23">
        <v>2646</v>
      </c>
      <c r="N23">
        <v>1946</v>
      </c>
      <c r="O23">
        <v>2796</v>
      </c>
      <c r="P23">
        <v>3646</v>
      </c>
      <c r="Q23">
        <v>3096</v>
      </c>
      <c r="R23">
        <v>3246</v>
      </c>
      <c r="S23">
        <v>4096</v>
      </c>
      <c r="T23">
        <v>3396</v>
      </c>
      <c r="U23">
        <v>4246</v>
      </c>
      <c r="V23">
        <v>5096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</row>
    <row r="24" spans="1:88" x14ac:dyDescent="0.35">
      <c r="A24">
        <v>2592</v>
      </c>
      <c r="B24">
        <v>2742</v>
      </c>
      <c r="C24">
        <v>3592</v>
      </c>
      <c r="D24">
        <v>2892</v>
      </c>
      <c r="E24">
        <v>3742</v>
      </c>
      <c r="F24">
        <v>4592</v>
      </c>
      <c r="G24">
        <v>3042</v>
      </c>
      <c r="H24">
        <v>3892</v>
      </c>
      <c r="I24">
        <v>4742</v>
      </c>
      <c r="J24">
        <v>5592</v>
      </c>
      <c r="K24">
        <v>2942</v>
      </c>
      <c r="L24">
        <v>3092</v>
      </c>
      <c r="M24">
        <v>3942</v>
      </c>
      <c r="N24">
        <v>3242</v>
      </c>
      <c r="O24">
        <v>4092</v>
      </c>
      <c r="P24">
        <v>4942</v>
      </c>
      <c r="Q24">
        <v>4392</v>
      </c>
      <c r="R24">
        <v>4542</v>
      </c>
      <c r="S24">
        <v>5392</v>
      </c>
      <c r="T24">
        <v>4692</v>
      </c>
      <c r="U24">
        <v>5542</v>
      </c>
      <c r="V24">
        <v>6392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</row>
    <row r="25" spans="1:88" x14ac:dyDescent="0.35">
      <c r="A25">
        <v>2268</v>
      </c>
      <c r="B25">
        <v>2418</v>
      </c>
      <c r="C25">
        <v>3268</v>
      </c>
      <c r="D25">
        <v>2568</v>
      </c>
      <c r="E25">
        <v>3418</v>
      </c>
      <c r="F25">
        <v>4268</v>
      </c>
      <c r="G25">
        <v>2718</v>
      </c>
      <c r="H25">
        <v>3568</v>
      </c>
      <c r="I25">
        <v>4418</v>
      </c>
      <c r="J25">
        <v>5268</v>
      </c>
      <c r="K25">
        <v>2618</v>
      </c>
      <c r="L25">
        <v>2768</v>
      </c>
      <c r="M25">
        <v>3618</v>
      </c>
      <c r="N25">
        <v>2918</v>
      </c>
      <c r="O25">
        <v>3768</v>
      </c>
      <c r="P25">
        <v>4618</v>
      </c>
      <c r="Q25">
        <v>4068</v>
      </c>
      <c r="R25">
        <v>4218</v>
      </c>
      <c r="S25">
        <v>5068</v>
      </c>
      <c r="T25">
        <v>4368</v>
      </c>
      <c r="U25">
        <v>5218</v>
      </c>
      <c r="V25">
        <v>6068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</row>
    <row r="26" spans="1:88" x14ac:dyDescent="0.35">
      <c r="A26">
        <v>2268</v>
      </c>
      <c r="B26">
        <v>2418</v>
      </c>
      <c r="C26">
        <v>3268</v>
      </c>
      <c r="D26">
        <v>2568</v>
      </c>
      <c r="E26">
        <v>3418</v>
      </c>
      <c r="F26">
        <v>4268</v>
      </c>
      <c r="G26">
        <v>2718</v>
      </c>
      <c r="H26">
        <v>3568</v>
      </c>
      <c r="I26">
        <v>4418</v>
      </c>
      <c r="J26">
        <v>5268</v>
      </c>
      <c r="K26">
        <v>2618</v>
      </c>
      <c r="L26">
        <v>2768</v>
      </c>
      <c r="M26">
        <v>3618</v>
      </c>
      <c r="N26">
        <v>2918</v>
      </c>
      <c r="O26">
        <v>3768</v>
      </c>
      <c r="P26">
        <v>4618</v>
      </c>
      <c r="Q26">
        <v>4068</v>
      </c>
      <c r="R26">
        <v>4218</v>
      </c>
      <c r="S26">
        <v>5068</v>
      </c>
      <c r="T26">
        <v>4368</v>
      </c>
      <c r="U26">
        <v>5218</v>
      </c>
      <c r="V26">
        <v>6068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</row>
    <row r="27" spans="1:88" x14ac:dyDescent="0.35">
      <c r="A27">
        <v>2106</v>
      </c>
      <c r="B27">
        <v>2256</v>
      </c>
      <c r="C27">
        <v>3106</v>
      </c>
      <c r="D27">
        <v>2406</v>
      </c>
      <c r="E27">
        <v>3256</v>
      </c>
      <c r="F27">
        <v>4106</v>
      </c>
      <c r="G27">
        <v>2556</v>
      </c>
      <c r="H27">
        <v>3406</v>
      </c>
      <c r="I27">
        <v>4256</v>
      </c>
      <c r="J27">
        <v>5106</v>
      </c>
      <c r="K27">
        <v>2456</v>
      </c>
      <c r="L27">
        <v>2606</v>
      </c>
      <c r="M27">
        <v>3456</v>
      </c>
      <c r="N27">
        <v>2756</v>
      </c>
      <c r="O27">
        <v>3606</v>
      </c>
      <c r="P27">
        <v>4456</v>
      </c>
      <c r="Q27">
        <v>3906</v>
      </c>
      <c r="R27">
        <v>4056</v>
      </c>
      <c r="S27">
        <v>4906</v>
      </c>
      <c r="T27">
        <v>4206</v>
      </c>
      <c r="U27">
        <v>5056</v>
      </c>
      <c r="V27">
        <v>5906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</row>
    <row r="28" spans="1:88" x14ac:dyDescent="0.35">
      <c r="A28">
        <v>1944</v>
      </c>
      <c r="B28">
        <v>2094</v>
      </c>
      <c r="C28">
        <v>2944</v>
      </c>
      <c r="D28">
        <v>2244</v>
      </c>
      <c r="E28">
        <v>3094</v>
      </c>
      <c r="F28">
        <v>3944</v>
      </c>
      <c r="G28">
        <v>2394</v>
      </c>
      <c r="H28">
        <v>3244</v>
      </c>
      <c r="I28">
        <v>4094</v>
      </c>
      <c r="J28">
        <v>4944</v>
      </c>
      <c r="K28">
        <v>2294</v>
      </c>
      <c r="L28">
        <v>2444</v>
      </c>
      <c r="M28">
        <v>3294</v>
      </c>
      <c r="N28">
        <v>2594</v>
      </c>
      <c r="O28">
        <v>3444</v>
      </c>
      <c r="P28">
        <v>4294</v>
      </c>
      <c r="Q28">
        <v>3744</v>
      </c>
      <c r="R28">
        <v>3894</v>
      </c>
      <c r="S28">
        <v>4744</v>
      </c>
      <c r="T28">
        <v>4044</v>
      </c>
      <c r="U28">
        <v>4894</v>
      </c>
      <c r="V28">
        <v>5744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</row>
    <row r="29" spans="1:88" x14ac:dyDescent="0.35">
      <c r="A29">
        <v>2268</v>
      </c>
      <c r="B29">
        <v>2418</v>
      </c>
      <c r="C29">
        <v>3268</v>
      </c>
      <c r="D29">
        <v>2568</v>
      </c>
      <c r="E29">
        <v>3418</v>
      </c>
      <c r="F29">
        <v>4268</v>
      </c>
      <c r="G29">
        <v>2718</v>
      </c>
      <c r="H29">
        <v>3568</v>
      </c>
      <c r="I29">
        <v>4418</v>
      </c>
      <c r="J29">
        <v>5268</v>
      </c>
      <c r="K29">
        <v>2618</v>
      </c>
      <c r="L29">
        <v>2768</v>
      </c>
      <c r="M29">
        <v>3618</v>
      </c>
      <c r="N29">
        <v>2918</v>
      </c>
      <c r="O29">
        <v>3768</v>
      </c>
      <c r="P29">
        <v>4618</v>
      </c>
      <c r="Q29">
        <v>4068</v>
      </c>
      <c r="R29">
        <v>4218</v>
      </c>
      <c r="S29">
        <v>5068</v>
      </c>
      <c r="T29">
        <v>4368</v>
      </c>
      <c r="U29">
        <v>5218</v>
      </c>
      <c r="V29">
        <v>6068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</row>
    <row r="30" spans="1:88" x14ac:dyDescent="0.35">
      <c r="A30">
        <v>2430</v>
      </c>
      <c r="B30">
        <v>2580</v>
      </c>
      <c r="C30">
        <v>3430</v>
      </c>
      <c r="D30">
        <v>2730</v>
      </c>
      <c r="E30">
        <v>3580</v>
      </c>
      <c r="F30">
        <v>4430</v>
      </c>
      <c r="G30">
        <v>2880</v>
      </c>
      <c r="H30">
        <v>3730</v>
      </c>
      <c r="I30">
        <v>4580</v>
      </c>
      <c r="J30">
        <v>5430</v>
      </c>
      <c r="K30">
        <v>2780</v>
      </c>
      <c r="L30">
        <v>2930</v>
      </c>
      <c r="M30">
        <v>3780</v>
      </c>
      <c r="N30">
        <v>3080</v>
      </c>
      <c r="O30">
        <v>3930</v>
      </c>
      <c r="P30">
        <v>4780</v>
      </c>
      <c r="Q30">
        <v>4230</v>
      </c>
      <c r="R30">
        <v>4380</v>
      </c>
      <c r="S30">
        <v>5230</v>
      </c>
      <c r="T30">
        <v>4530</v>
      </c>
      <c r="U30">
        <v>5380</v>
      </c>
      <c r="V30">
        <v>6230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</row>
    <row r="31" spans="1:88" x14ac:dyDescent="0.35">
      <c r="A31">
        <v>2430</v>
      </c>
      <c r="B31">
        <v>2580</v>
      </c>
      <c r="C31">
        <v>3430</v>
      </c>
      <c r="D31">
        <v>2730</v>
      </c>
      <c r="E31">
        <v>3580</v>
      </c>
      <c r="F31">
        <v>4430</v>
      </c>
      <c r="G31">
        <v>2880</v>
      </c>
      <c r="H31">
        <v>3730</v>
      </c>
      <c r="I31">
        <v>4580</v>
      </c>
      <c r="J31">
        <v>5430</v>
      </c>
      <c r="K31">
        <v>2780</v>
      </c>
      <c r="L31">
        <v>2930</v>
      </c>
      <c r="M31">
        <v>3780</v>
      </c>
      <c r="N31">
        <v>3080</v>
      </c>
      <c r="O31">
        <v>3930</v>
      </c>
      <c r="P31">
        <v>4780</v>
      </c>
      <c r="Q31">
        <v>4230</v>
      </c>
      <c r="R31">
        <v>4380</v>
      </c>
      <c r="S31">
        <v>5230</v>
      </c>
      <c r="T31">
        <v>4530</v>
      </c>
      <c r="U31">
        <v>5380</v>
      </c>
      <c r="V31">
        <v>6230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</row>
    <row r="32" spans="1:88" x14ac:dyDescent="0.35">
      <c r="A32">
        <v>2106</v>
      </c>
      <c r="B32">
        <v>2256</v>
      </c>
      <c r="C32">
        <v>3106</v>
      </c>
      <c r="D32">
        <v>2406</v>
      </c>
      <c r="E32">
        <v>3256</v>
      </c>
      <c r="F32">
        <v>4106</v>
      </c>
      <c r="G32">
        <v>2556</v>
      </c>
      <c r="H32">
        <v>3406</v>
      </c>
      <c r="I32">
        <v>4256</v>
      </c>
      <c r="J32">
        <v>5106</v>
      </c>
      <c r="K32">
        <v>2456</v>
      </c>
      <c r="L32">
        <v>2606</v>
      </c>
      <c r="M32">
        <v>3456</v>
      </c>
      <c r="N32">
        <v>2756</v>
      </c>
      <c r="O32">
        <v>3606</v>
      </c>
      <c r="P32">
        <v>4456</v>
      </c>
      <c r="Q32">
        <v>3906</v>
      </c>
      <c r="R32">
        <v>4056</v>
      </c>
      <c r="S32">
        <v>4906</v>
      </c>
      <c r="T32">
        <v>4206</v>
      </c>
      <c r="U32">
        <v>5056</v>
      </c>
      <c r="V32">
        <v>5906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</row>
    <row r="33" spans="1:88" x14ac:dyDescent="0.35">
      <c r="A33">
        <v>2916</v>
      </c>
      <c r="B33">
        <v>3066</v>
      </c>
      <c r="C33">
        <v>3916</v>
      </c>
      <c r="D33">
        <v>3216</v>
      </c>
      <c r="E33">
        <v>4066</v>
      </c>
      <c r="F33">
        <v>4916</v>
      </c>
      <c r="G33">
        <v>3366</v>
      </c>
      <c r="H33">
        <v>4216</v>
      </c>
      <c r="I33">
        <v>5066</v>
      </c>
      <c r="J33">
        <v>5916</v>
      </c>
      <c r="K33">
        <v>3266</v>
      </c>
      <c r="L33">
        <v>3416</v>
      </c>
      <c r="M33">
        <v>4266</v>
      </c>
      <c r="N33">
        <v>3566</v>
      </c>
      <c r="O33">
        <v>4416</v>
      </c>
      <c r="P33">
        <v>5266</v>
      </c>
      <c r="Q33">
        <v>4716</v>
      </c>
      <c r="R33">
        <v>4866</v>
      </c>
      <c r="S33">
        <v>5716</v>
      </c>
      <c r="T33">
        <v>5016</v>
      </c>
      <c r="U33">
        <v>5866</v>
      </c>
      <c r="V33">
        <v>6716</v>
      </c>
      <c r="W33">
        <v>3316</v>
      </c>
      <c r="X33">
        <v>3466</v>
      </c>
      <c r="Y33">
        <v>4316</v>
      </c>
      <c r="Z33">
        <v>3616</v>
      </c>
      <c r="AA33">
        <v>4466</v>
      </c>
      <c r="AB33">
        <v>5316</v>
      </c>
      <c r="AC33">
        <v>3766</v>
      </c>
      <c r="AD33">
        <v>4616</v>
      </c>
      <c r="AE33">
        <v>5466</v>
      </c>
      <c r="AF33">
        <v>6316</v>
      </c>
      <c r="AG33">
        <v>3666</v>
      </c>
      <c r="AH33">
        <v>3816</v>
      </c>
      <c r="AI33">
        <v>4666</v>
      </c>
      <c r="AJ33">
        <v>3966</v>
      </c>
      <c r="AK33">
        <v>4816</v>
      </c>
      <c r="AL33">
        <v>5666</v>
      </c>
      <c r="AM33">
        <v>5116</v>
      </c>
      <c r="AN33">
        <v>5266</v>
      </c>
      <c r="AO33">
        <v>6116</v>
      </c>
      <c r="AP33">
        <v>5416</v>
      </c>
      <c r="AQ33">
        <v>6266</v>
      </c>
      <c r="AR33">
        <v>7116</v>
      </c>
      <c r="AS33">
        <v>3916</v>
      </c>
      <c r="AT33">
        <v>4066</v>
      </c>
      <c r="AU33">
        <v>4916</v>
      </c>
      <c r="AV33">
        <v>4216</v>
      </c>
      <c r="AW33">
        <v>5066</v>
      </c>
      <c r="AX33">
        <v>5916</v>
      </c>
      <c r="AY33">
        <v>4366</v>
      </c>
      <c r="AZ33">
        <v>5216</v>
      </c>
      <c r="BA33">
        <v>6066</v>
      </c>
      <c r="BB33">
        <v>6916</v>
      </c>
      <c r="BC33">
        <v>4266</v>
      </c>
      <c r="BD33">
        <v>4416</v>
      </c>
      <c r="BE33">
        <v>5266</v>
      </c>
      <c r="BF33">
        <v>4566</v>
      </c>
      <c r="BG33">
        <v>5416</v>
      </c>
      <c r="BH33">
        <v>6266</v>
      </c>
      <c r="BI33">
        <v>5716</v>
      </c>
      <c r="BJ33">
        <v>5866</v>
      </c>
      <c r="BK33">
        <v>6716</v>
      </c>
      <c r="BL33">
        <v>6016</v>
      </c>
      <c r="BM33">
        <v>6866</v>
      </c>
      <c r="BN33">
        <v>7716</v>
      </c>
      <c r="BO33">
        <v>4516</v>
      </c>
      <c r="BP33">
        <v>4666</v>
      </c>
      <c r="BQ33">
        <v>5516</v>
      </c>
      <c r="BR33">
        <v>4816</v>
      </c>
      <c r="BS33">
        <v>5666</v>
      </c>
      <c r="BT33">
        <v>6516</v>
      </c>
      <c r="BU33">
        <v>4966</v>
      </c>
      <c r="BV33">
        <v>5816</v>
      </c>
      <c r="BW33">
        <v>6666</v>
      </c>
      <c r="BX33">
        <v>7516</v>
      </c>
      <c r="BY33">
        <v>4866</v>
      </c>
      <c r="BZ33">
        <v>5016</v>
      </c>
      <c r="CA33">
        <v>5866</v>
      </c>
      <c r="CB33">
        <v>5166</v>
      </c>
      <c r="CC33">
        <v>6016</v>
      </c>
      <c r="CD33">
        <v>6866</v>
      </c>
      <c r="CE33">
        <v>6316</v>
      </c>
      <c r="CF33">
        <v>6466</v>
      </c>
      <c r="CG33">
        <v>7316</v>
      </c>
      <c r="CH33">
        <v>6616</v>
      </c>
      <c r="CI33">
        <v>7466</v>
      </c>
      <c r="CJ33">
        <v>8316</v>
      </c>
    </row>
    <row r="34" spans="1:88" x14ac:dyDescent="0.35">
      <c r="A34">
        <v>2106</v>
      </c>
      <c r="B34">
        <v>2256</v>
      </c>
      <c r="C34">
        <v>3106</v>
      </c>
      <c r="D34">
        <v>2406</v>
      </c>
      <c r="E34">
        <v>3256</v>
      </c>
      <c r="F34">
        <v>4106</v>
      </c>
      <c r="G34">
        <v>2556</v>
      </c>
      <c r="H34">
        <v>3406</v>
      </c>
      <c r="I34">
        <v>4256</v>
      </c>
      <c r="J34">
        <v>5106</v>
      </c>
      <c r="K34">
        <v>2456</v>
      </c>
      <c r="L34">
        <v>2606</v>
      </c>
      <c r="M34">
        <v>3456</v>
      </c>
      <c r="N34">
        <v>2756</v>
      </c>
      <c r="O34">
        <v>3606</v>
      </c>
      <c r="P34">
        <v>4456</v>
      </c>
      <c r="Q34">
        <v>3906</v>
      </c>
      <c r="R34">
        <v>4056</v>
      </c>
      <c r="S34">
        <v>4906</v>
      </c>
      <c r="T34">
        <v>4206</v>
      </c>
      <c r="U34">
        <v>5056</v>
      </c>
      <c r="V34">
        <v>5906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</row>
    <row r="35" spans="1:88" x14ac:dyDescent="0.35">
      <c r="A35">
        <v>1944</v>
      </c>
      <c r="B35">
        <v>2094</v>
      </c>
      <c r="C35">
        <v>2944</v>
      </c>
      <c r="D35">
        <v>2244</v>
      </c>
      <c r="E35">
        <v>3094</v>
      </c>
      <c r="F35">
        <v>3944</v>
      </c>
      <c r="G35">
        <v>2394</v>
      </c>
      <c r="H35">
        <v>3244</v>
      </c>
      <c r="I35">
        <v>4094</v>
      </c>
      <c r="J35">
        <v>4944</v>
      </c>
      <c r="K35">
        <v>2294</v>
      </c>
      <c r="L35">
        <v>2444</v>
      </c>
      <c r="M35">
        <v>3294</v>
      </c>
      <c r="N35">
        <v>2594</v>
      </c>
      <c r="O35">
        <v>3444</v>
      </c>
      <c r="P35">
        <v>4294</v>
      </c>
      <c r="Q35">
        <v>3744</v>
      </c>
      <c r="R35">
        <v>3894</v>
      </c>
      <c r="S35">
        <v>4744</v>
      </c>
      <c r="T35">
        <v>4044</v>
      </c>
      <c r="U35">
        <v>4894</v>
      </c>
      <c r="V35">
        <v>5744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</row>
    <row r="36" spans="1:88" x14ac:dyDescent="0.35">
      <c r="A36">
        <v>2106</v>
      </c>
      <c r="B36">
        <v>2256</v>
      </c>
      <c r="C36">
        <v>3106</v>
      </c>
      <c r="D36">
        <v>2406</v>
      </c>
      <c r="E36">
        <v>3256</v>
      </c>
      <c r="F36">
        <v>4106</v>
      </c>
      <c r="G36">
        <v>2556</v>
      </c>
      <c r="H36">
        <v>3406</v>
      </c>
      <c r="I36">
        <v>4256</v>
      </c>
      <c r="J36">
        <v>5106</v>
      </c>
      <c r="K36">
        <v>2456</v>
      </c>
      <c r="L36">
        <v>2606</v>
      </c>
      <c r="M36">
        <v>3456</v>
      </c>
      <c r="N36">
        <v>2756</v>
      </c>
      <c r="O36">
        <v>3606</v>
      </c>
      <c r="P36">
        <v>4456</v>
      </c>
      <c r="Q36">
        <v>3906</v>
      </c>
      <c r="R36">
        <v>4056</v>
      </c>
      <c r="S36">
        <v>4906</v>
      </c>
      <c r="T36">
        <v>4206</v>
      </c>
      <c r="U36">
        <v>5056</v>
      </c>
      <c r="V36">
        <v>5906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</row>
    <row r="37" spans="1:88" x14ac:dyDescent="0.35">
      <c r="A37">
        <v>2592</v>
      </c>
      <c r="B37">
        <v>2742</v>
      </c>
      <c r="C37">
        <v>3592</v>
      </c>
      <c r="D37">
        <v>2892</v>
      </c>
      <c r="E37">
        <v>3742</v>
      </c>
      <c r="F37">
        <v>4592</v>
      </c>
      <c r="G37">
        <v>3042</v>
      </c>
      <c r="H37">
        <v>3892</v>
      </c>
      <c r="I37">
        <v>4742</v>
      </c>
      <c r="J37">
        <v>5592</v>
      </c>
      <c r="K37">
        <v>2942</v>
      </c>
      <c r="L37">
        <v>3092</v>
      </c>
      <c r="M37">
        <v>3942</v>
      </c>
      <c r="N37">
        <v>3242</v>
      </c>
      <c r="O37">
        <v>4092</v>
      </c>
      <c r="P37">
        <v>4942</v>
      </c>
      <c r="Q37">
        <v>4392</v>
      </c>
      <c r="R37">
        <v>4542</v>
      </c>
      <c r="S37">
        <v>5392</v>
      </c>
      <c r="T37">
        <v>4692</v>
      </c>
      <c r="U37">
        <v>5542</v>
      </c>
      <c r="V37">
        <v>6392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</row>
    <row r="38" spans="1:88" x14ac:dyDescent="0.35">
      <c r="A38">
        <v>2916</v>
      </c>
      <c r="B38">
        <v>3066</v>
      </c>
      <c r="C38">
        <v>3916</v>
      </c>
      <c r="D38">
        <v>3216</v>
      </c>
      <c r="E38">
        <v>4066</v>
      </c>
      <c r="F38">
        <v>4916</v>
      </c>
      <c r="G38">
        <v>3366</v>
      </c>
      <c r="H38">
        <v>4216</v>
      </c>
      <c r="I38">
        <v>5066</v>
      </c>
      <c r="J38">
        <v>5916</v>
      </c>
      <c r="K38">
        <v>3266</v>
      </c>
      <c r="L38">
        <v>3416</v>
      </c>
      <c r="M38">
        <v>4266</v>
      </c>
      <c r="N38">
        <v>3566</v>
      </c>
      <c r="O38">
        <v>4416</v>
      </c>
      <c r="P38">
        <v>5266</v>
      </c>
      <c r="Q38">
        <v>4716</v>
      </c>
      <c r="R38">
        <v>4866</v>
      </c>
      <c r="S38">
        <v>5716</v>
      </c>
      <c r="T38">
        <v>5016</v>
      </c>
      <c r="U38">
        <v>5866</v>
      </c>
      <c r="V38">
        <v>6716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</row>
    <row r="39" spans="1:88" x14ac:dyDescent="0.35">
      <c r="A39">
        <v>2592</v>
      </c>
      <c r="B39">
        <v>2742</v>
      </c>
      <c r="C39">
        <v>3592</v>
      </c>
      <c r="D39">
        <v>2892</v>
      </c>
      <c r="E39">
        <v>3742</v>
      </c>
      <c r="F39">
        <v>4592</v>
      </c>
      <c r="G39">
        <v>3042</v>
      </c>
      <c r="H39">
        <v>3892</v>
      </c>
      <c r="I39">
        <v>4742</v>
      </c>
      <c r="J39">
        <v>5592</v>
      </c>
      <c r="K39">
        <v>2942</v>
      </c>
      <c r="L39">
        <v>3092</v>
      </c>
      <c r="M39">
        <v>3942</v>
      </c>
      <c r="N39">
        <v>3242</v>
      </c>
      <c r="O39">
        <v>4092</v>
      </c>
      <c r="P39">
        <v>4942</v>
      </c>
      <c r="Q39">
        <v>4392</v>
      </c>
      <c r="R39">
        <v>4542</v>
      </c>
      <c r="S39">
        <v>5392</v>
      </c>
      <c r="T39">
        <v>4692</v>
      </c>
      <c r="U39">
        <v>5542</v>
      </c>
      <c r="V39">
        <v>6392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</row>
    <row r="40" spans="1:88" x14ac:dyDescent="0.35">
      <c r="A40">
        <v>2430</v>
      </c>
      <c r="B40">
        <v>2580</v>
      </c>
      <c r="C40">
        <v>3430</v>
      </c>
      <c r="D40">
        <v>2730</v>
      </c>
      <c r="E40">
        <v>3580</v>
      </c>
      <c r="F40">
        <v>4430</v>
      </c>
      <c r="G40">
        <v>2880</v>
      </c>
      <c r="H40">
        <v>3730</v>
      </c>
      <c r="I40">
        <v>4580</v>
      </c>
      <c r="J40">
        <v>5430</v>
      </c>
      <c r="K40">
        <v>2780</v>
      </c>
      <c r="L40">
        <v>2930</v>
      </c>
      <c r="M40">
        <v>3780</v>
      </c>
      <c r="N40">
        <v>3080</v>
      </c>
      <c r="O40">
        <v>3930</v>
      </c>
      <c r="P40">
        <v>4780</v>
      </c>
      <c r="Q40">
        <v>4230</v>
      </c>
      <c r="R40">
        <v>4380</v>
      </c>
      <c r="S40">
        <v>5230</v>
      </c>
      <c r="T40">
        <v>4530</v>
      </c>
      <c r="U40">
        <v>5380</v>
      </c>
      <c r="V40">
        <v>6230</v>
      </c>
      <c r="W40">
        <v>2830</v>
      </c>
      <c r="X40">
        <v>2980</v>
      </c>
      <c r="Y40">
        <v>3830</v>
      </c>
      <c r="Z40">
        <v>3130</v>
      </c>
      <c r="AA40">
        <v>3980</v>
      </c>
      <c r="AB40">
        <v>4830</v>
      </c>
      <c r="AC40">
        <v>3280</v>
      </c>
      <c r="AD40">
        <v>4130</v>
      </c>
      <c r="AE40">
        <v>4980</v>
      </c>
      <c r="AF40">
        <v>5830</v>
      </c>
      <c r="AG40">
        <v>3180</v>
      </c>
      <c r="AH40">
        <v>3330</v>
      </c>
      <c r="AI40">
        <v>4180</v>
      </c>
      <c r="AJ40">
        <v>3480</v>
      </c>
      <c r="AK40">
        <v>4330</v>
      </c>
      <c r="AL40">
        <v>5180</v>
      </c>
      <c r="AM40">
        <v>4630</v>
      </c>
      <c r="AN40">
        <v>4780</v>
      </c>
      <c r="AO40">
        <v>5630</v>
      </c>
      <c r="AP40">
        <v>4930</v>
      </c>
      <c r="AQ40">
        <v>5780</v>
      </c>
      <c r="AR40">
        <v>6630</v>
      </c>
      <c r="AS40">
        <v>3430</v>
      </c>
      <c r="AT40">
        <v>3580</v>
      </c>
      <c r="AU40">
        <v>4430</v>
      </c>
      <c r="AV40">
        <v>3730</v>
      </c>
      <c r="AW40">
        <v>4580</v>
      </c>
      <c r="AX40">
        <v>5430</v>
      </c>
      <c r="AY40">
        <v>3880</v>
      </c>
      <c r="AZ40">
        <v>4730</v>
      </c>
      <c r="BA40">
        <v>5580</v>
      </c>
      <c r="BB40">
        <v>6430</v>
      </c>
      <c r="BC40">
        <v>3780</v>
      </c>
      <c r="BD40">
        <v>3930</v>
      </c>
      <c r="BE40">
        <v>4780</v>
      </c>
      <c r="BF40">
        <v>4080</v>
      </c>
      <c r="BG40">
        <v>4930</v>
      </c>
      <c r="BH40">
        <v>5780</v>
      </c>
      <c r="BI40">
        <v>5230</v>
      </c>
      <c r="BJ40">
        <v>5380</v>
      </c>
      <c r="BK40">
        <v>6230</v>
      </c>
      <c r="BL40">
        <v>5530</v>
      </c>
      <c r="BM40">
        <v>6380</v>
      </c>
      <c r="BN40">
        <v>7230</v>
      </c>
      <c r="BO40">
        <v>4030</v>
      </c>
      <c r="BP40">
        <v>4180</v>
      </c>
      <c r="BQ40">
        <v>5030</v>
      </c>
      <c r="BR40">
        <v>4330</v>
      </c>
      <c r="BS40">
        <v>5180</v>
      </c>
      <c r="BT40">
        <v>6030</v>
      </c>
      <c r="BU40">
        <v>4480</v>
      </c>
      <c r="BV40">
        <v>5330</v>
      </c>
      <c r="BW40">
        <v>6180</v>
      </c>
      <c r="BX40">
        <v>7030</v>
      </c>
      <c r="BY40">
        <v>4380</v>
      </c>
      <c r="BZ40">
        <v>4530</v>
      </c>
      <c r="CA40">
        <v>5380</v>
      </c>
      <c r="CB40">
        <v>4680</v>
      </c>
      <c r="CC40">
        <v>5530</v>
      </c>
      <c r="CD40">
        <v>6380</v>
      </c>
      <c r="CE40">
        <v>5830</v>
      </c>
      <c r="CF40">
        <v>5980</v>
      </c>
      <c r="CG40">
        <v>6830</v>
      </c>
      <c r="CH40">
        <v>6130</v>
      </c>
      <c r="CI40">
        <v>6980</v>
      </c>
      <c r="CJ40">
        <v>7830</v>
      </c>
    </row>
    <row r="41" spans="1:88" x14ac:dyDescent="0.35">
      <c r="A41">
        <v>1620</v>
      </c>
      <c r="B41">
        <v>1770</v>
      </c>
      <c r="C41">
        <v>2620</v>
      </c>
      <c r="D41">
        <v>1920</v>
      </c>
      <c r="E41">
        <v>2770</v>
      </c>
      <c r="F41">
        <v>3620</v>
      </c>
      <c r="G41">
        <v>2070</v>
      </c>
      <c r="H41">
        <v>2920</v>
      </c>
      <c r="I41">
        <v>3770</v>
      </c>
      <c r="J41">
        <v>4620</v>
      </c>
      <c r="K41">
        <v>1970</v>
      </c>
      <c r="L41">
        <v>2120</v>
      </c>
      <c r="M41">
        <v>2970</v>
      </c>
      <c r="N41">
        <v>2270</v>
      </c>
      <c r="O41">
        <v>3120</v>
      </c>
      <c r="P41">
        <v>3970</v>
      </c>
      <c r="Q41">
        <v>3420</v>
      </c>
      <c r="R41">
        <v>3570</v>
      </c>
      <c r="S41">
        <v>4420</v>
      </c>
      <c r="T41">
        <v>3720</v>
      </c>
      <c r="U41">
        <v>4570</v>
      </c>
      <c r="V41">
        <v>5420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</row>
    <row r="42" spans="1:88" x14ac:dyDescent="0.35">
      <c r="A42">
        <v>2592</v>
      </c>
      <c r="B42">
        <v>2742</v>
      </c>
      <c r="C42">
        <v>3592</v>
      </c>
      <c r="D42">
        <v>2892</v>
      </c>
      <c r="E42">
        <v>3742</v>
      </c>
      <c r="F42">
        <v>4592</v>
      </c>
      <c r="G42">
        <v>3042</v>
      </c>
      <c r="H42">
        <v>3892</v>
      </c>
      <c r="I42">
        <v>4742</v>
      </c>
      <c r="J42">
        <v>5592</v>
      </c>
      <c r="K42">
        <v>2942</v>
      </c>
      <c r="L42">
        <v>3092</v>
      </c>
      <c r="M42">
        <v>3942</v>
      </c>
      <c r="N42">
        <v>3242</v>
      </c>
      <c r="O42">
        <v>4092</v>
      </c>
      <c r="P42">
        <v>4942</v>
      </c>
      <c r="Q42">
        <v>4392</v>
      </c>
      <c r="R42">
        <v>4542</v>
      </c>
      <c r="S42">
        <v>5392</v>
      </c>
      <c r="T42">
        <v>4692</v>
      </c>
      <c r="U42">
        <v>5542</v>
      </c>
      <c r="V42">
        <v>6392</v>
      </c>
      <c r="W42">
        <v>2992</v>
      </c>
      <c r="X42">
        <v>3142</v>
      </c>
      <c r="Y42">
        <v>3992</v>
      </c>
      <c r="Z42">
        <v>3292</v>
      </c>
      <c r="AA42">
        <v>4142</v>
      </c>
      <c r="AB42">
        <v>4992</v>
      </c>
      <c r="AC42">
        <v>3442</v>
      </c>
      <c r="AD42">
        <v>4292</v>
      </c>
      <c r="AE42">
        <v>5142</v>
      </c>
      <c r="AF42">
        <v>5992</v>
      </c>
      <c r="AG42">
        <v>3342</v>
      </c>
      <c r="AH42">
        <v>3492</v>
      </c>
      <c r="AI42">
        <v>4342</v>
      </c>
      <c r="AJ42">
        <v>3642</v>
      </c>
      <c r="AK42">
        <v>4492</v>
      </c>
      <c r="AL42">
        <v>5342</v>
      </c>
      <c r="AM42">
        <v>4792</v>
      </c>
      <c r="AN42">
        <v>4942</v>
      </c>
      <c r="AO42">
        <v>5792</v>
      </c>
      <c r="AP42">
        <v>5092</v>
      </c>
      <c r="AQ42">
        <v>5942</v>
      </c>
      <c r="AR42">
        <v>6792</v>
      </c>
      <c r="AS42">
        <v>3592</v>
      </c>
      <c r="AT42">
        <v>3742</v>
      </c>
      <c r="AU42">
        <v>4592</v>
      </c>
      <c r="AV42">
        <v>3892</v>
      </c>
      <c r="AW42">
        <v>4742</v>
      </c>
      <c r="AX42">
        <v>5592</v>
      </c>
      <c r="AY42">
        <v>4042</v>
      </c>
      <c r="AZ42">
        <v>4892</v>
      </c>
      <c r="BA42">
        <v>5742</v>
      </c>
      <c r="BB42">
        <v>6592</v>
      </c>
      <c r="BC42">
        <v>3942</v>
      </c>
      <c r="BD42">
        <v>4092</v>
      </c>
      <c r="BE42">
        <v>4942</v>
      </c>
      <c r="BF42">
        <v>4242</v>
      </c>
      <c r="BG42">
        <v>5092</v>
      </c>
      <c r="BH42">
        <v>5942</v>
      </c>
      <c r="BI42">
        <v>5392</v>
      </c>
      <c r="BJ42">
        <v>5542</v>
      </c>
      <c r="BK42">
        <v>6392</v>
      </c>
      <c r="BL42">
        <v>5692</v>
      </c>
      <c r="BM42">
        <v>6542</v>
      </c>
      <c r="BN42">
        <v>7392</v>
      </c>
      <c r="BO42">
        <v>4192</v>
      </c>
      <c r="BP42">
        <v>4342</v>
      </c>
      <c r="BQ42">
        <v>5192</v>
      </c>
      <c r="BR42">
        <v>4492</v>
      </c>
      <c r="BS42">
        <v>5342</v>
      </c>
      <c r="BT42">
        <v>6192</v>
      </c>
      <c r="BU42">
        <v>4642</v>
      </c>
      <c r="BV42">
        <v>5492</v>
      </c>
      <c r="BW42">
        <v>6342</v>
      </c>
      <c r="BX42">
        <v>7192</v>
      </c>
      <c r="BY42">
        <v>4542</v>
      </c>
      <c r="BZ42">
        <v>4692</v>
      </c>
      <c r="CA42">
        <v>5542</v>
      </c>
      <c r="CB42">
        <v>4842</v>
      </c>
      <c r="CC42">
        <v>5692</v>
      </c>
      <c r="CD42">
        <v>6542</v>
      </c>
      <c r="CE42">
        <v>5992</v>
      </c>
      <c r="CF42">
        <v>6142</v>
      </c>
      <c r="CG42">
        <v>6992</v>
      </c>
      <c r="CH42">
        <v>6292</v>
      </c>
      <c r="CI42">
        <v>7142</v>
      </c>
      <c r="CJ42">
        <v>7992</v>
      </c>
    </row>
    <row r="43" spans="1:88" x14ac:dyDescent="0.35">
      <c r="A43">
        <v>1782</v>
      </c>
      <c r="B43">
        <v>1932</v>
      </c>
      <c r="C43">
        <v>2782</v>
      </c>
      <c r="D43">
        <v>2082</v>
      </c>
      <c r="E43">
        <v>2932</v>
      </c>
      <c r="F43">
        <v>3782</v>
      </c>
      <c r="G43">
        <v>2232</v>
      </c>
      <c r="H43">
        <v>3082</v>
      </c>
      <c r="I43">
        <v>3932</v>
      </c>
      <c r="J43">
        <v>4782</v>
      </c>
      <c r="K43">
        <v>2132</v>
      </c>
      <c r="L43">
        <v>2282</v>
      </c>
      <c r="M43">
        <v>3132</v>
      </c>
      <c r="N43">
        <v>2432</v>
      </c>
      <c r="O43">
        <v>3282</v>
      </c>
      <c r="P43">
        <v>4132</v>
      </c>
      <c r="Q43">
        <v>3582</v>
      </c>
      <c r="R43">
        <v>3732</v>
      </c>
      <c r="S43">
        <v>4582</v>
      </c>
      <c r="T43">
        <v>3882</v>
      </c>
      <c r="U43">
        <v>4732</v>
      </c>
      <c r="V43">
        <v>5582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</row>
    <row r="44" spans="1:88" x14ac:dyDescent="0.35">
      <c r="A44">
        <v>1944</v>
      </c>
      <c r="B44">
        <v>2094</v>
      </c>
      <c r="C44">
        <v>2944</v>
      </c>
      <c r="D44">
        <v>2244</v>
      </c>
      <c r="E44">
        <v>3094</v>
      </c>
      <c r="F44">
        <v>3944</v>
      </c>
      <c r="G44">
        <v>2394</v>
      </c>
      <c r="H44">
        <v>3244</v>
      </c>
      <c r="I44">
        <v>4094</v>
      </c>
      <c r="J44">
        <v>4944</v>
      </c>
      <c r="K44">
        <v>2294</v>
      </c>
      <c r="L44">
        <v>2444</v>
      </c>
      <c r="M44">
        <v>3294</v>
      </c>
      <c r="N44">
        <v>2594</v>
      </c>
      <c r="O44">
        <v>3444</v>
      </c>
      <c r="P44">
        <v>4294</v>
      </c>
      <c r="Q44">
        <v>3744</v>
      </c>
      <c r="R44">
        <v>3894</v>
      </c>
      <c r="S44">
        <v>4744</v>
      </c>
      <c r="T44">
        <v>4044</v>
      </c>
      <c r="U44">
        <v>4894</v>
      </c>
      <c r="V44">
        <v>5744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</row>
    <row r="45" spans="1:88" x14ac:dyDescent="0.35">
      <c r="A45">
        <v>2592</v>
      </c>
      <c r="B45">
        <v>2742</v>
      </c>
      <c r="C45">
        <v>3592</v>
      </c>
      <c r="D45">
        <v>2892</v>
      </c>
      <c r="E45">
        <v>3742</v>
      </c>
      <c r="F45">
        <v>4592</v>
      </c>
      <c r="G45">
        <v>3042</v>
      </c>
      <c r="H45">
        <v>3892</v>
      </c>
      <c r="I45">
        <v>4742</v>
      </c>
      <c r="J45">
        <v>5592</v>
      </c>
      <c r="K45">
        <v>2942</v>
      </c>
      <c r="L45">
        <v>3092</v>
      </c>
      <c r="M45">
        <v>3942</v>
      </c>
      <c r="N45">
        <v>3242</v>
      </c>
      <c r="O45">
        <v>4092</v>
      </c>
      <c r="P45">
        <v>4942</v>
      </c>
      <c r="Q45">
        <v>4392</v>
      </c>
      <c r="R45">
        <v>4542</v>
      </c>
      <c r="S45">
        <v>5392</v>
      </c>
      <c r="T45">
        <v>4692</v>
      </c>
      <c r="U45">
        <v>5542</v>
      </c>
      <c r="V45">
        <v>6392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</row>
    <row r="46" spans="1:88" x14ac:dyDescent="0.35">
      <c r="A46">
        <v>2592</v>
      </c>
      <c r="B46">
        <v>2742</v>
      </c>
      <c r="C46">
        <v>3592</v>
      </c>
      <c r="D46">
        <v>2892</v>
      </c>
      <c r="E46">
        <v>3742</v>
      </c>
      <c r="F46">
        <v>4592</v>
      </c>
      <c r="G46">
        <v>3042</v>
      </c>
      <c r="H46">
        <v>3892</v>
      </c>
      <c r="I46">
        <v>4742</v>
      </c>
      <c r="J46">
        <v>5592</v>
      </c>
      <c r="K46">
        <v>2942</v>
      </c>
      <c r="L46">
        <v>3092</v>
      </c>
      <c r="M46">
        <v>3942</v>
      </c>
      <c r="N46">
        <v>3242</v>
      </c>
      <c r="O46">
        <v>4092</v>
      </c>
      <c r="P46">
        <v>4942</v>
      </c>
      <c r="Q46">
        <v>4392</v>
      </c>
      <c r="R46">
        <v>4542</v>
      </c>
      <c r="S46">
        <v>5392</v>
      </c>
      <c r="T46">
        <v>4692</v>
      </c>
      <c r="U46">
        <v>5542</v>
      </c>
      <c r="V46">
        <v>6392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</row>
    <row r="47" spans="1:88" x14ac:dyDescent="0.35">
      <c r="A47">
        <v>1782</v>
      </c>
      <c r="B47">
        <v>1932</v>
      </c>
      <c r="C47">
        <v>2782</v>
      </c>
      <c r="D47">
        <v>2082</v>
      </c>
      <c r="E47">
        <v>2932</v>
      </c>
      <c r="F47">
        <v>3782</v>
      </c>
      <c r="G47">
        <v>2232</v>
      </c>
      <c r="H47">
        <v>3082</v>
      </c>
      <c r="I47">
        <v>3932</v>
      </c>
      <c r="J47">
        <v>4782</v>
      </c>
      <c r="K47">
        <v>2132</v>
      </c>
      <c r="L47">
        <v>2282</v>
      </c>
      <c r="M47">
        <v>3132</v>
      </c>
      <c r="N47">
        <v>2432</v>
      </c>
      <c r="O47">
        <v>3282</v>
      </c>
      <c r="P47">
        <v>4132</v>
      </c>
      <c r="Q47">
        <v>3582</v>
      </c>
      <c r="R47">
        <v>3732</v>
      </c>
      <c r="S47">
        <v>4582</v>
      </c>
      <c r="T47">
        <v>3882</v>
      </c>
      <c r="U47">
        <v>4732</v>
      </c>
      <c r="V47">
        <v>5582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</row>
    <row r="48" spans="1:88" x14ac:dyDescent="0.35">
      <c r="A48">
        <v>2268</v>
      </c>
      <c r="B48">
        <v>2418</v>
      </c>
      <c r="C48">
        <v>3268</v>
      </c>
      <c r="D48">
        <v>2568</v>
      </c>
      <c r="E48">
        <v>3418</v>
      </c>
      <c r="F48">
        <v>4268</v>
      </c>
      <c r="G48">
        <v>2718</v>
      </c>
      <c r="H48">
        <v>3568</v>
      </c>
      <c r="I48">
        <v>4418</v>
      </c>
      <c r="J48">
        <v>5268</v>
      </c>
      <c r="K48">
        <v>2618</v>
      </c>
      <c r="L48">
        <v>2768</v>
      </c>
      <c r="M48">
        <v>3618</v>
      </c>
      <c r="N48">
        <v>2918</v>
      </c>
      <c r="O48">
        <v>3768</v>
      </c>
      <c r="P48">
        <v>4618</v>
      </c>
      <c r="Q48">
        <v>4068</v>
      </c>
      <c r="R48">
        <v>4218</v>
      </c>
      <c r="S48">
        <v>5068</v>
      </c>
      <c r="T48">
        <v>4368</v>
      </c>
      <c r="U48">
        <v>5218</v>
      </c>
      <c r="V48">
        <v>6068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</row>
    <row r="49" spans="1:88" x14ac:dyDescent="0.35">
      <c r="A49">
        <v>1944</v>
      </c>
      <c r="B49">
        <v>2094</v>
      </c>
      <c r="C49">
        <v>2944</v>
      </c>
      <c r="D49">
        <v>2244</v>
      </c>
      <c r="E49">
        <v>3094</v>
      </c>
      <c r="F49">
        <v>3944</v>
      </c>
      <c r="G49">
        <v>2394</v>
      </c>
      <c r="H49">
        <v>3244</v>
      </c>
      <c r="I49">
        <v>4094</v>
      </c>
      <c r="J49">
        <v>4944</v>
      </c>
      <c r="K49">
        <v>2294</v>
      </c>
      <c r="L49">
        <v>2444</v>
      </c>
      <c r="M49">
        <v>3294</v>
      </c>
      <c r="N49">
        <v>2594</v>
      </c>
      <c r="O49">
        <v>3444</v>
      </c>
      <c r="P49">
        <v>4294</v>
      </c>
      <c r="Q49">
        <v>3744</v>
      </c>
      <c r="R49">
        <v>3894</v>
      </c>
      <c r="S49">
        <v>4744</v>
      </c>
      <c r="T49">
        <v>4044</v>
      </c>
      <c r="U49">
        <v>4894</v>
      </c>
      <c r="V49">
        <v>5744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</row>
    <row r="50" spans="1:88" x14ac:dyDescent="0.35">
      <c r="A50">
        <v>1620</v>
      </c>
      <c r="B50">
        <v>1770</v>
      </c>
      <c r="C50">
        <v>2620</v>
      </c>
      <c r="D50">
        <v>1920</v>
      </c>
      <c r="E50">
        <v>2770</v>
      </c>
      <c r="F50">
        <v>3620</v>
      </c>
      <c r="G50">
        <v>2070</v>
      </c>
      <c r="H50">
        <v>2920</v>
      </c>
      <c r="I50">
        <v>3770</v>
      </c>
      <c r="J50">
        <v>4620</v>
      </c>
      <c r="K50">
        <v>1970</v>
      </c>
      <c r="L50">
        <v>2120</v>
      </c>
      <c r="M50">
        <v>2970</v>
      </c>
      <c r="N50">
        <v>2270</v>
      </c>
      <c r="O50">
        <v>3120</v>
      </c>
      <c r="P50">
        <v>3970</v>
      </c>
      <c r="Q50">
        <v>3420</v>
      </c>
      <c r="R50">
        <v>3570</v>
      </c>
      <c r="S50">
        <v>4420</v>
      </c>
      <c r="T50">
        <v>3720</v>
      </c>
      <c r="U50">
        <v>4570</v>
      </c>
      <c r="V50">
        <v>5420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</row>
    <row r="51" spans="1:88" x14ac:dyDescent="0.35">
      <c r="A51">
        <v>2268</v>
      </c>
      <c r="B51">
        <v>2418</v>
      </c>
      <c r="C51">
        <v>3268</v>
      </c>
      <c r="D51">
        <v>2568</v>
      </c>
      <c r="E51">
        <v>3418</v>
      </c>
      <c r="F51">
        <v>4268</v>
      </c>
      <c r="G51">
        <v>2718</v>
      </c>
      <c r="H51">
        <v>3568</v>
      </c>
      <c r="I51">
        <v>4418</v>
      </c>
      <c r="J51">
        <v>5268</v>
      </c>
      <c r="K51">
        <v>2618</v>
      </c>
      <c r="L51">
        <v>2768</v>
      </c>
      <c r="M51">
        <v>3618</v>
      </c>
      <c r="N51">
        <v>2918</v>
      </c>
      <c r="O51">
        <v>3768</v>
      </c>
      <c r="P51">
        <v>4618</v>
      </c>
      <c r="Q51">
        <v>4068</v>
      </c>
      <c r="R51">
        <v>4218</v>
      </c>
      <c r="S51">
        <v>5068</v>
      </c>
      <c r="T51">
        <v>4368</v>
      </c>
      <c r="U51">
        <v>5218</v>
      </c>
      <c r="V51">
        <v>6068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</row>
    <row r="52" spans="1:88" x14ac:dyDescent="0.35">
      <c r="A52">
        <v>3240</v>
      </c>
      <c r="B52">
        <v>3390</v>
      </c>
      <c r="C52">
        <v>4240</v>
      </c>
      <c r="D52">
        <v>3540</v>
      </c>
      <c r="E52">
        <v>4390</v>
      </c>
      <c r="F52">
        <v>5240</v>
      </c>
      <c r="G52">
        <v>3690</v>
      </c>
      <c r="H52">
        <v>4540</v>
      </c>
      <c r="I52">
        <v>5390</v>
      </c>
      <c r="J52">
        <v>6240</v>
      </c>
      <c r="K52">
        <v>3590</v>
      </c>
      <c r="L52">
        <v>3740</v>
      </c>
      <c r="M52">
        <v>4590</v>
      </c>
      <c r="N52">
        <v>3890</v>
      </c>
      <c r="O52">
        <v>4740</v>
      </c>
      <c r="P52">
        <v>5590</v>
      </c>
      <c r="Q52">
        <v>5040</v>
      </c>
      <c r="R52">
        <v>5190</v>
      </c>
      <c r="S52">
        <v>6040</v>
      </c>
      <c r="T52">
        <v>5340</v>
      </c>
      <c r="U52">
        <v>6190</v>
      </c>
      <c r="V52">
        <v>7040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</row>
    <row r="53" spans="1:88" x14ac:dyDescent="0.35">
      <c r="A53">
        <v>2106</v>
      </c>
      <c r="B53">
        <v>2256</v>
      </c>
      <c r="C53">
        <v>3106</v>
      </c>
      <c r="D53">
        <v>2406</v>
      </c>
      <c r="E53">
        <v>3256</v>
      </c>
      <c r="F53">
        <v>4106</v>
      </c>
      <c r="G53">
        <v>2556</v>
      </c>
      <c r="H53">
        <v>3406</v>
      </c>
      <c r="I53">
        <v>4256</v>
      </c>
      <c r="J53">
        <v>5106</v>
      </c>
      <c r="K53">
        <v>2456</v>
      </c>
      <c r="L53">
        <v>2606</v>
      </c>
      <c r="M53">
        <v>3456</v>
      </c>
      <c r="N53">
        <v>2756</v>
      </c>
      <c r="O53">
        <v>3606</v>
      </c>
      <c r="P53">
        <v>4456</v>
      </c>
      <c r="Q53">
        <v>3906</v>
      </c>
      <c r="R53">
        <v>4056</v>
      </c>
      <c r="S53">
        <v>4906</v>
      </c>
      <c r="T53">
        <v>4206</v>
      </c>
      <c r="U53">
        <v>5056</v>
      </c>
      <c r="V53">
        <v>5906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</row>
    <row r="54" spans="1:88" x14ac:dyDescent="0.35">
      <c r="A54">
        <v>3240</v>
      </c>
      <c r="B54">
        <v>3390</v>
      </c>
      <c r="C54">
        <v>4240</v>
      </c>
      <c r="D54">
        <v>3540</v>
      </c>
      <c r="E54">
        <v>4390</v>
      </c>
      <c r="F54">
        <v>5240</v>
      </c>
      <c r="G54">
        <v>3690</v>
      </c>
      <c r="H54">
        <v>4540</v>
      </c>
      <c r="I54">
        <v>5390</v>
      </c>
      <c r="J54">
        <v>6240</v>
      </c>
      <c r="K54">
        <v>3590</v>
      </c>
      <c r="L54">
        <v>3740</v>
      </c>
      <c r="M54">
        <v>4590</v>
      </c>
      <c r="N54">
        <v>3890</v>
      </c>
      <c r="O54">
        <v>4740</v>
      </c>
      <c r="P54">
        <v>5590</v>
      </c>
      <c r="Q54">
        <v>5040</v>
      </c>
      <c r="R54">
        <v>5190</v>
      </c>
      <c r="S54">
        <v>6040</v>
      </c>
      <c r="T54">
        <v>5340</v>
      </c>
      <c r="U54">
        <v>6190</v>
      </c>
      <c r="V54">
        <v>7040</v>
      </c>
      <c r="W54">
        <v>3640</v>
      </c>
      <c r="X54">
        <v>3790</v>
      </c>
      <c r="Y54">
        <v>4640</v>
      </c>
      <c r="Z54">
        <v>3940</v>
      </c>
      <c r="AA54">
        <v>4790</v>
      </c>
      <c r="AB54">
        <v>5640</v>
      </c>
      <c r="AC54">
        <v>4090</v>
      </c>
      <c r="AD54">
        <v>4940</v>
      </c>
      <c r="AE54">
        <v>5790</v>
      </c>
      <c r="AF54">
        <v>6640</v>
      </c>
      <c r="AG54">
        <v>3990</v>
      </c>
      <c r="AH54">
        <v>4140</v>
      </c>
      <c r="AI54">
        <v>4990</v>
      </c>
      <c r="AJ54">
        <v>4290</v>
      </c>
      <c r="AK54">
        <v>5140</v>
      </c>
      <c r="AL54">
        <v>5990</v>
      </c>
      <c r="AM54">
        <v>5440</v>
      </c>
      <c r="AN54">
        <v>5590</v>
      </c>
      <c r="AO54">
        <v>6440</v>
      </c>
      <c r="AP54">
        <v>5740</v>
      </c>
      <c r="AQ54">
        <v>6590</v>
      </c>
      <c r="AR54">
        <v>7440</v>
      </c>
      <c r="AS54">
        <v>4240</v>
      </c>
      <c r="AT54">
        <v>4390</v>
      </c>
      <c r="AU54">
        <v>5240</v>
      </c>
      <c r="AV54">
        <v>4540</v>
      </c>
      <c r="AW54">
        <v>5390</v>
      </c>
      <c r="AX54">
        <v>6240</v>
      </c>
      <c r="AY54">
        <v>4690</v>
      </c>
      <c r="AZ54">
        <v>5540</v>
      </c>
      <c r="BA54">
        <v>6390</v>
      </c>
      <c r="BB54">
        <v>7240</v>
      </c>
      <c r="BC54">
        <v>4590</v>
      </c>
      <c r="BD54">
        <v>4740</v>
      </c>
      <c r="BE54">
        <v>5590</v>
      </c>
      <c r="BF54">
        <v>4890</v>
      </c>
      <c r="BG54">
        <v>5740</v>
      </c>
      <c r="BH54">
        <v>6590</v>
      </c>
      <c r="BI54">
        <v>6040</v>
      </c>
      <c r="BJ54">
        <v>6190</v>
      </c>
      <c r="BK54">
        <v>7040</v>
      </c>
      <c r="BL54">
        <v>6340</v>
      </c>
      <c r="BM54">
        <v>7190</v>
      </c>
      <c r="BN54">
        <v>8040</v>
      </c>
      <c r="BO54">
        <v>4840</v>
      </c>
      <c r="BP54">
        <v>4990</v>
      </c>
      <c r="BQ54">
        <v>5840</v>
      </c>
      <c r="BR54">
        <v>5140</v>
      </c>
      <c r="BS54">
        <v>5990</v>
      </c>
      <c r="BT54">
        <v>6840</v>
      </c>
      <c r="BU54">
        <v>5290</v>
      </c>
      <c r="BV54">
        <v>6140</v>
      </c>
      <c r="BW54">
        <v>6990</v>
      </c>
      <c r="BX54">
        <v>7840</v>
      </c>
      <c r="BY54">
        <v>5190</v>
      </c>
      <c r="BZ54">
        <v>5340</v>
      </c>
      <c r="CA54">
        <v>6190</v>
      </c>
      <c r="CB54">
        <v>5490</v>
      </c>
      <c r="CC54">
        <v>6340</v>
      </c>
      <c r="CD54">
        <v>7190</v>
      </c>
      <c r="CE54">
        <v>6640</v>
      </c>
      <c r="CF54">
        <v>6790</v>
      </c>
      <c r="CG54">
        <v>7640</v>
      </c>
      <c r="CH54">
        <v>6940</v>
      </c>
      <c r="CI54">
        <v>7790</v>
      </c>
      <c r="CJ54">
        <v>8640</v>
      </c>
    </row>
    <row r="55" spans="1:88" x14ac:dyDescent="0.35">
      <c r="A55">
        <v>2592</v>
      </c>
      <c r="B55">
        <v>2742</v>
      </c>
      <c r="C55">
        <v>3592</v>
      </c>
      <c r="D55">
        <v>2892</v>
      </c>
      <c r="E55">
        <v>3742</v>
      </c>
      <c r="F55">
        <v>4592</v>
      </c>
      <c r="G55">
        <v>3042</v>
      </c>
      <c r="H55">
        <v>3892</v>
      </c>
      <c r="I55">
        <v>4742</v>
      </c>
      <c r="J55">
        <v>5592</v>
      </c>
      <c r="K55">
        <v>2942</v>
      </c>
      <c r="L55">
        <v>3092</v>
      </c>
      <c r="M55">
        <v>3942</v>
      </c>
      <c r="N55">
        <v>3242</v>
      </c>
      <c r="O55">
        <v>4092</v>
      </c>
      <c r="P55">
        <v>4942</v>
      </c>
      <c r="Q55">
        <v>4392</v>
      </c>
      <c r="R55">
        <v>4542</v>
      </c>
      <c r="S55">
        <v>5392</v>
      </c>
      <c r="T55">
        <v>4692</v>
      </c>
      <c r="U55">
        <v>5542</v>
      </c>
      <c r="V55">
        <v>6392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</row>
    <row r="56" spans="1:88" x14ac:dyDescent="0.35">
      <c r="A56">
        <v>1458</v>
      </c>
      <c r="B56">
        <v>1608</v>
      </c>
      <c r="C56">
        <v>2458</v>
      </c>
      <c r="D56">
        <v>1758</v>
      </c>
      <c r="E56">
        <v>2608</v>
      </c>
      <c r="F56">
        <v>3458</v>
      </c>
      <c r="G56">
        <v>1908</v>
      </c>
      <c r="H56">
        <v>2758</v>
      </c>
      <c r="I56">
        <v>3608</v>
      </c>
      <c r="J56">
        <v>4458</v>
      </c>
      <c r="K56">
        <v>1808</v>
      </c>
      <c r="L56">
        <v>1958</v>
      </c>
      <c r="M56">
        <v>2808</v>
      </c>
      <c r="N56">
        <v>2108</v>
      </c>
      <c r="O56">
        <v>2958</v>
      </c>
      <c r="P56">
        <v>3808</v>
      </c>
      <c r="Q56">
        <v>3258</v>
      </c>
      <c r="R56">
        <v>3408</v>
      </c>
      <c r="S56">
        <v>4258</v>
      </c>
      <c r="T56">
        <v>3558</v>
      </c>
      <c r="U56">
        <v>4408</v>
      </c>
      <c r="V56">
        <v>5258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</row>
    <row r="57" spans="1:88" x14ac:dyDescent="0.35">
      <c r="A57">
        <v>1944</v>
      </c>
      <c r="B57">
        <v>2094</v>
      </c>
      <c r="C57">
        <v>2944</v>
      </c>
      <c r="D57">
        <v>2244</v>
      </c>
      <c r="E57">
        <v>3094</v>
      </c>
      <c r="F57">
        <v>3944</v>
      </c>
      <c r="G57">
        <v>2394</v>
      </c>
      <c r="H57">
        <v>3244</v>
      </c>
      <c r="I57">
        <v>4094</v>
      </c>
      <c r="J57">
        <v>4944</v>
      </c>
      <c r="K57">
        <v>2294</v>
      </c>
      <c r="L57">
        <v>2444</v>
      </c>
      <c r="M57">
        <v>3294</v>
      </c>
      <c r="N57">
        <v>2594</v>
      </c>
      <c r="O57">
        <v>3444</v>
      </c>
      <c r="P57">
        <v>4294</v>
      </c>
      <c r="Q57">
        <v>3744</v>
      </c>
      <c r="R57">
        <v>3894</v>
      </c>
      <c r="S57">
        <v>4744</v>
      </c>
      <c r="T57">
        <v>4044</v>
      </c>
      <c r="U57">
        <v>4894</v>
      </c>
      <c r="V57">
        <v>5744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90D86-88F3-420F-92A5-9B58E0D5917D}">
  <sheetPr codeName="Sheet15"/>
  <dimension ref="A1:CJ57"/>
  <sheetViews>
    <sheetView workbookViewId="0">
      <selection sqref="A1:A1048576"/>
    </sheetView>
  </sheetViews>
  <sheetFormatPr defaultRowHeight="14.5" x14ac:dyDescent="0.35"/>
  <sheetData>
    <row r="1" spans="1:88" x14ac:dyDescent="0.35">
      <c r="A1">
        <v>1170</v>
      </c>
      <c r="B1">
        <v>1320</v>
      </c>
      <c r="C1">
        <v>2170</v>
      </c>
      <c r="D1">
        <v>1470</v>
      </c>
      <c r="E1">
        <v>2320</v>
      </c>
      <c r="F1">
        <v>3170</v>
      </c>
      <c r="G1">
        <v>1620</v>
      </c>
      <c r="H1">
        <v>2470</v>
      </c>
      <c r="I1">
        <v>3320</v>
      </c>
      <c r="J1">
        <v>4170</v>
      </c>
      <c r="K1">
        <v>1520</v>
      </c>
      <c r="L1">
        <v>1670</v>
      </c>
      <c r="M1">
        <v>2520</v>
      </c>
      <c r="N1">
        <v>1820</v>
      </c>
      <c r="O1">
        <v>2670</v>
      </c>
      <c r="P1">
        <v>3520</v>
      </c>
      <c r="Q1">
        <v>2970</v>
      </c>
      <c r="R1">
        <v>3120</v>
      </c>
      <c r="S1">
        <v>3970</v>
      </c>
      <c r="T1">
        <v>3270</v>
      </c>
      <c r="U1">
        <v>4120</v>
      </c>
      <c r="V1">
        <v>4970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</row>
    <row r="2" spans="1:88" x14ac:dyDescent="0.35">
      <c r="A2">
        <v>1530</v>
      </c>
      <c r="B2">
        <v>1680</v>
      </c>
      <c r="C2">
        <v>2530</v>
      </c>
      <c r="D2">
        <v>1830</v>
      </c>
      <c r="E2">
        <v>2680</v>
      </c>
      <c r="F2">
        <v>3530</v>
      </c>
      <c r="G2">
        <v>1980</v>
      </c>
      <c r="H2">
        <v>2830</v>
      </c>
      <c r="I2">
        <v>3680</v>
      </c>
      <c r="J2">
        <v>4530</v>
      </c>
      <c r="K2">
        <v>1880</v>
      </c>
      <c r="L2">
        <v>2030</v>
      </c>
      <c r="M2">
        <v>2880</v>
      </c>
      <c r="N2">
        <v>2180</v>
      </c>
      <c r="O2">
        <v>3030</v>
      </c>
      <c r="P2">
        <v>3880</v>
      </c>
      <c r="Q2">
        <v>3330</v>
      </c>
      <c r="R2">
        <v>3480</v>
      </c>
      <c r="S2">
        <v>4330</v>
      </c>
      <c r="T2">
        <v>3630</v>
      </c>
      <c r="U2">
        <v>4480</v>
      </c>
      <c r="V2">
        <v>5330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</row>
    <row r="3" spans="1:88" x14ac:dyDescent="0.35">
      <c r="A3">
        <v>1170</v>
      </c>
      <c r="B3">
        <v>1320</v>
      </c>
      <c r="C3">
        <v>2170</v>
      </c>
      <c r="D3">
        <v>1470</v>
      </c>
      <c r="E3">
        <v>2320</v>
      </c>
      <c r="F3">
        <v>3170</v>
      </c>
      <c r="G3">
        <v>1620</v>
      </c>
      <c r="H3">
        <v>2470</v>
      </c>
      <c r="I3">
        <v>3320</v>
      </c>
      <c r="J3">
        <v>4170</v>
      </c>
      <c r="K3">
        <v>1520</v>
      </c>
      <c r="L3">
        <v>1670</v>
      </c>
      <c r="M3">
        <v>2520</v>
      </c>
      <c r="N3">
        <v>1820</v>
      </c>
      <c r="O3">
        <v>2670</v>
      </c>
      <c r="P3">
        <v>3520</v>
      </c>
      <c r="Q3">
        <v>2970</v>
      </c>
      <c r="R3">
        <v>3120</v>
      </c>
      <c r="S3">
        <v>3970</v>
      </c>
      <c r="T3">
        <v>3270</v>
      </c>
      <c r="U3">
        <v>4120</v>
      </c>
      <c r="V3">
        <v>4970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</row>
    <row r="4" spans="1:88" x14ac:dyDescent="0.35">
      <c r="A4">
        <v>1080</v>
      </c>
      <c r="B4">
        <v>1230</v>
      </c>
      <c r="C4">
        <v>2080</v>
      </c>
      <c r="D4">
        <v>1380</v>
      </c>
      <c r="E4">
        <v>2230</v>
      </c>
      <c r="F4">
        <v>3080</v>
      </c>
      <c r="G4">
        <v>1530</v>
      </c>
      <c r="H4">
        <v>2380</v>
      </c>
      <c r="I4">
        <v>3230</v>
      </c>
      <c r="J4">
        <v>4080</v>
      </c>
      <c r="K4">
        <v>1430</v>
      </c>
      <c r="L4">
        <v>1580</v>
      </c>
      <c r="M4">
        <v>2430</v>
      </c>
      <c r="N4">
        <v>1730</v>
      </c>
      <c r="O4">
        <v>2580</v>
      </c>
      <c r="P4">
        <v>3430</v>
      </c>
      <c r="Q4">
        <v>2880</v>
      </c>
      <c r="R4">
        <v>3030</v>
      </c>
      <c r="S4">
        <v>3880</v>
      </c>
      <c r="T4">
        <v>3180</v>
      </c>
      <c r="U4">
        <v>4030</v>
      </c>
      <c r="V4">
        <v>4880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</row>
    <row r="5" spans="1:88" x14ac:dyDescent="0.35">
      <c r="A5">
        <v>1080</v>
      </c>
      <c r="B5">
        <v>1230</v>
      </c>
      <c r="C5">
        <v>2080</v>
      </c>
      <c r="D5">
        <v>1380</v>
      </c>
      <c r="E5">
        <v>2230</v>
      </c>
      <c r="F5">
        <v>3080</v>
      </c>
      <c r="G5">
        <v>1530</v>
      </c>
      <c r="H5">
        <v>2380</v>
      </c>
      <c r="I5">
        <v>3230</v>
      </c>
      <c r="J5">
        <v>4080</v>
      </c>
      <c r="K5">
        <v>1430</v>
      </c>
      <c r="L5">
        <v>1580</v>
      </c>
      <c r="M5">
        <v>2430</v>
      </c>
      <c r="N5">
        <v>1730</v>
      </c>
      <c r="O5">
        <v>2580</v>
      </c>
      <c r="P5">
        <v>3430</v>
      </c>
      <c r="Q5">
        <v>2880</v>
      </c>
      <c r="R5">
        <v>3030</v>
      </c>
      <c r="S5">
        <v>3880</v>
      </c>
      <c r="T5">
        <v>3180</v>
      </c>
      <c r="U5">
        <v>4030</v>
      </c>
      <c r="V5">
        <v>4880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</row>
    <row r="6" spans="1:88" x14ac:dyDescent="0.35">
      <c r="A6">
        <v>1350</v>
      </c>
      <c r="B6">
        <v>1500</v>
      </c>
      <c r="C6">
        <v>2350</v>
      </c>
      <c r="D6">
        <v>1650</v>
      </c>
      <c r="E6">
        <v>2500</v>
      </c>
      <c r="F6">
        <v>3350</v>
      </c>
      <c r="G6">
        <v>1800</v>
      </c>
      <c r="H6">
        <v>2650</v>
      </c>
      <c r="I6">
        <v>3500</v>
      </c>
      <c r="J6">
        <v>4350</v>
      </c>
      <c r="K6">
        <v>1700</v>
      </c>
      <c r="L6">
        <v>1850</v>
      </c>
      <c r="M6">
        <v>2700</v>
      </c>
      <c r="N6">
        <v>2000</v>
      </c>
      <c r="O6">
        <v>2850</v>
      </c>
      <c r="P6">
        <v>3700</v>
      </c>
      <c r="Q6">
        <v>3150</v>
      </c>
      <c r="R6">
        <v>3300</v>
      </c>
      <c r="S6">
        <v>4150</v>
      </c>
      <c r="T6">
        <v>3450</v>
      </c>
      <c r="U6">
        <v>4300</v>
      </c>
      <c r="V6">
        <v>5150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</row>
    <row r="7" spans="1:88" x14ac:dyDescent="0.35">
      <c r="A7">
        <v>1260</v>
      </c>
      <c r="B7">
        <v>1410</v>
      </c>
      <c r="C7">
        <v>2260</v>
      </c>
      <c r="D7">
        <v>1560</v>
      </c>
      <c r="E7">
        <v>2410</v>
      </c>
      <c r="F7">
        <v>3260</v>
      </c>
      <c r="G7">
        <v>1710</v>
      </c>
      <c r="H7">
        <v>2560</v>
      </c>
      <c r="I7">
        <v>3410</v>
      </c>
      <c r="J7">
        <v>4260</v>
      </c>
      <c r="K7">
        <v>1610</v>
      </c>
      <c r="L7">
        <v>1760</v>
      </c>
      <c r="M7">
        <v>2610</v>
      </c>
      <c r="N7">
        <v>1910</v>
      </c>
      <c r="O7">
        <v>2760</v>
      </c>
      <c r="P7">
        <v>3610</v>
      </c>
      <c r="Q7">
        <v>3060</v>
      </c>
      <c r="R7">
        <v>3210</v>
      </c>
      <c r="S7">
        <v>4060</v>
      </c>
      <c r="T7">
        <v>3360</v>
      </c>
      <c r="U7">
        <v>4210</v>
      </c>
      <c r="V7">
        <v>5060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</row>
    <row r="8" spans="1:88" x14ac:dyDescent="0.35">
      <c r="A8">
        <v>1440</v>
      </c>
      <c r="B8">
        <v>1590</v>
      </c>
      <c r="C8">
        <v>2440</v>
      </c>
      <c r="D8">
        <v>1740</v>
      </c>
      <c r="E8">
        <v>2590</v>
      </c>
      <c r="F8">
        <v>3440</v>
      </c>
      <c r="G8">
        <v>1890</v>
      </c>
      <c r="H8">
        <v>2740</v>
      </c>
      <c r="I8">
        <v>3590</v>
      </c>
      <c r="J8">
        <v>4440</v>
      </c>
      <c r="K8">
        <v>1790</v>
      </c>
      <c r="L8">
        <v>1940</v>
      </c>
      <c r="M8">
        <v>2790</v>
      </c>
      <c r="N8">
        <v>2090</v>
      </c>
      <c r="O8">
        <v>2940</v>
      </c>
      <c r="P8">
        <v>3790</v>
      </c>
      <c r="Q8">
        <v>3240</v>
      </c>
      <c r="R8">
        <v>3390</v>
      </c>
      <c r="S8">
        <v>4240</v>
      </c>
      <c r="T8">
        <v>3540</v>
      </c>
      <c r="U8">
        <v>4390</v>
      </c>
      <c r="V8">
        <v>5240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</row>
    <row r="9" spans="1:88" x14ac:dyDescent="0.35">
      <c r="A9">
        <v>1800</v>
      </c>
      <c r="B9">
        <v>1950</v>
      </c>
      <c r="C9">
        <v>2800</v>
      </c>
      <c r="D9">
        <v>2100</v>
      </c>
      <c r="E9">
        <v>2950</v>
      </c>
      <c r="F9">
        <v>3800</v>
      </c>
      <c r="G9">
        <v>2250</v>
      </c>
      <c r="H9">
        <v>3100</v>
      </c>
      <c r="I9">
        <v>3950</v>
      </c>
      <c r="J9">
        <v>4800</v>
      </c>
      <c r="K9">
        <v>2150</v>
      </c>
      <c r="L9">
        <v>2300</v>
      </c>
      <c r="M9">
        <v>3150</v>
      </c>
      <c r="N9">
        <v>2450</v>
      </c>
      <c r="O9">
        <v>3300</v>
      </c>
      <c r="P9">
        <v>4150</v>
      </c>
      <c r="Q9">
        <v>3600</v>
      </c>
      <c r="R9">
        <v>3750</v>
      </c>
      <c r="S9">
        <v>4600</v>
      </c>
      <c r="T9">
        <v>3900</v>
      </c>
      <c r="U9">
        <v>4750</v>
      </c>
      <c r="V9">
        <v>5600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</row>
    <row r="10" spans="1:88" x14ac:dyDescent="0.35">
      <c r="A10">
        <v>1890</v>
      </c>
      <c r="B10">
        <v>2040</v>
      </c>
      <c r="C10">
        <v>2890</v>
      </c>
      <c r="D10">
        <v>2190</v>
      </c>
      <c r="E10">
        <v>3040</v>
      </c>
      <c r="F10">
        <v>3890</v>
      </c>
      <c r="G10">
        <v>2340</v>
      </c>
      <c r="H10">
        <v>3190</v>
      </c>
      <c r="I10">
        <v>4040</v>
      </c>
      <c r="J10">
        <v>4890</v>
      </c>
      <c r="K10">
        <v>2240</v>
      </c>
      <c r="L10">
        <v>2390</v>
      </c>
      <c r="M10">
        <v>3240</v>
      </c>
      <c r="N10">
        <v>2540</v>
      </c>
      <c r="O10">
        <v>3390</v>
      </c>
      <c r="P10">
        <v>4240</v>
      </c>
      <c r="Q10">
        <v>3690</v>
      </c>
      <c r="R10">
        <v>3840</v>
      </c>
      <c r="S10">
        <v>4690</v>
      </c>
      <c r="T10">
        <v>3990</v>
      </c>
      <c r="U10">
        <v>4840</v>
      </c>
      <c r="V10">
        <v>5690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</row>
    <row r="11" spans="1:88" x14ac:dyDescent="0.35">
      <c r="A11">
        <v>1350</v>
      </c>
      <c r="B11">
        <v>1500</v>
      </c>
      <c r="C11">
        <v>2350</v>
      </c>
      <c r="D11">
        <v>1650</v>
      </c>
      <c r="E11">
        <v>2500</v>
      </c>
      <c r="F11">
        <v>3350</v>
      </c>
      <c r="G11">
        <v>1800</v>
      </c>
      <c r="H11">
        <v>2650</v>
      </c>
      <c r="I11">
        <v>3500</v>
      </c>
      <c r="J11">
        <v>4350</v>
      </c>
      <c r="K11">
        <v>1700</v>
      </c>
      <c r="L11">
        <v>1850</v>
      </c>
      <c r="M11">
        <v>2700</v>
      </c>
      <c r="N11">
        <v>2000</v>
      </c>
      <c r="O11">
        <v>2850</v>
      </c>
      <c r="P11">
        <v>3700</v>
      </c>
      <c r="Q11">
        <v>3150</v>
      </c>
      <c r="R11">
        <v>3300</v>
      </c>
      <c r="S11">
        <v>4150</v>
      </c>
      <c r="T11">
        <v>3450</v>
      </c>
      <c r="U11">
        <v>4300</v>
      </c>
      <c r="V11">
        <v>5150</v>
      </c>
      <c r="W11">
        <v>1750</v>
      </c>
      <c r="X11">
        <v>1900</v>
      </c>
      <c r="Y11">
        <v>2750</v>
      </c>
      <c r="Z11">
        <v>2050</v>
      </c>
      <c r="AA11">
        <v>2900</v>
      </c>
      <c r="AB11">
        <v>3750</v>
      </c>
      <c r="AC11">
        <v>2200</v>
      </c>
      <c r="AD11">
        <v>3050</v>
      </c>
      <c r="AE11">
        <v>3900</v>
      </c>
      <c r="AF11">
        <v>4750</v>
      </c>
      <c r="AG11">
        <v>2100</v>
      </c>
      <c r="AH11">
        <v>2250</v>
      </c>
      <c r="AI11">
        <v>3100</v>
      </c>
      <c r="AJ11">
        <v>2400</v>
      </c>
      <c r="AK11">
        <v>3250</v>
      </c>
      <c r="AL11">
        <v>4100</v>
      </c>
      <c r="AM11">
        <v>3550</v>
      </c>
      <c r="AN11">
        <v>3700</v>
      </c>
      <c r="AO11">
        <v>4550</v>
      </c>
      <c r="AP11">
        <v>3850</v>
      </c>
      <c r="AQ11">
        <v>4700</v>
      </c>
      <c r="AR11">
        <v>5550</v>
      </c>
      <c r="AS11">
        <v>2350</v>
      </c>
      <c r="AT11">
        <v>2500</v>
      </c>
      <c r="AU11">
        <v>3350</v>
      </c>
      <c r="AV11">
        <v>2650</v>
      </c>
      <c r="AW11">
        <v>3500</v>
      </c>
      <c r="AX11">
        <v>4350</v>
      </c>
      <c r="AY11">
        <v>2800</v>
      </c>
      <c r="AZ11">
        <v>3650</v>
      </c>
      <c r="BA11">
        <v>4500</v>
      </c>
      <c r="BB11">
        <v>5350</v>
      </c>
      <c r="BC11">
        <v>2700</v>
      </c>
      <c r="BD11">
        <v>2850</v>
      </c>
      <c r="BE11">
        <v>3700</v>
      </c>
      <c r="BF11">
        <v>3000</v>
      </c>
      <c r="BG11">
        <v>3850</v>
      </c>
      <c r="BH11">
        <v>4700</v>
      </c>
      <c r="BI11">
        <v>4150</v>
      </c>
      <c r="BJ11">
        <v>4300</v>
      </c>
      <c r="BK11">
        <v>5150</v>
      </c>
      <c r="BL11">
        <v>4450</v>
      </c>
      <c r="BM11">
        <v>5300</v>
      </c>
      <c r="BN11">
        <v>6150</v>
      </c>
      <c r="BO11">
        <v>2950</v>
      </c>
      <c r="BP11">
        <v>3100</v>
      </c>
      <c r="BQ11">
        <v>3950</v>
      </c>
      <c r="BR11">
        <v>3250</v>
      </c>
      <c r="BS11">
        <v>4100</v>
      </c>
      <c r="BT11">
        <v>4950</v>
      </c>
      <c r="BU11">
        <v>3400</v>
      </c>
      <c r="BV11">
        <v>4250</v>
      </c>
      <c r="BW11">
        <v>5100</v>
      </c>
      <c r="BX11">
        <v>5950</v>
      </c>
      <c r="BY11">
        <v>3300</v>
      </c>
      <c r="BZ11">
        <v>3450</v>
      </c>
      <c r="CA11">
        <v>4300</v>
      </c>
      <c r="CB11">
        <v>3600</v>
      </c>
      <c r="CC11">
        <v>4450</v>
      </c>
      <c r="CD11">
        <v>5300</v>
      </c>
      <c r="CE11">
        <v>4750</v>
      </c>
      <c r="CF11">
        <v>4900</v>
      </c>
      <c r="CG11">
        <v>5750</v>
      </c>
      <c r="CH11">
        <v>5050</v>
      </c>
      <c r="CI11">
        <v>5900</v>
      </c>
      <c r="CJ11">
        <v>6750</v>
      </c>
    </row>
    <row r="12" spans="1:88" x14ac:dyDescent="0.35">
      <c r="A12">
        <v>1710</v>
      </c>
      <c r="B12">
        <v>1860</v>
      </c>
      <c r="C12">
        <v>2710</v>
      </c>
      <c r="D12">
        <v>2010</v>
      </c>
      <c r="E12">
        <v>2860</v>
      </c>
      <c r="F12">
        <v>3710</v>
      </c>
      <c r="G12">
        <v>2160</v>
      </c>
      <c r="H12">
        <v>3010</v>
      </c>
      <c r="I12">
        <v>3860</v>
      </c>
      <c r="J12">
        <v>4710</v>
      </c>
      <c r="K12">
        <v>2060</v>
      </c>
      <c r="L12">
        <v>2210</v>
      </c>
      <c r="M12">
        <v>3060</v>
      </c>
      <c r="N12">
        <v>2360</v>
      </c>
      <c r="O12">
        <v>3210</v>
      </c>
      <c r="P12">
        <v>4060</v>
      </c>
      <c r="Q12">
        <v>3510</v>
      </c>
      <c r="R12">
        <v>3660</v>
      </c>
      <c r="S12">
        <v>4510</v>
      </c>
      <c r="T12">
        <v>3810</v>
      </c>
      <c r="U12">
        <v>4660</v>
      </c>
      <c r="V12">
        <v>5510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</row>
    <row r="13" spans="1:88" x14ac:dyDescent="0.35">
      <c r="A13">
        <v>1350</v>
      </c>
      <c r="B13">
        <v>1500</v>
      </c>
      <c r="C13">
        <v>2350</v>
      </c>
      <c r="D13">
        <v>1650</v>
      </c>
      <c r="E13">
        <v>2500</v>
      </c>
      <c r="F13">
        <v>3350</v>
      </c>
      <c r="G13">
        <v>1800</v>
      </c>
      <c r="H13">
        <v>2650</v>
      </c>
      <c r="I13">
        <v>3500</v>
      </c>
      <c r="J13">
        <v>4350</v>
      </c>
      <c r="K13">
        <v>1700</v>
      </c>
      <c r="L13">
        <v>1850</v>
      </c>
      <c r="M13">
        <v>2700</v>
      </c>
      <c r="N13">
        <v>2000</v>
      </c>
      <c r="O13">
        <v>2850</v>
      </c>
      <c r="P13">
        <v>3700</v>
      </c>
      <c r="Q13">
        <v>3150</v>
      </c>
      <c r="R13">
        <v>3300</v>
      </c>
      <c r="S13">
        <v>4150</v>
      </c>
      <c r="T13">
        <v>3450</v>
      </c>
      <c r="U13">
        <v>4300</v>
      </c>
      <c r="V13">
        <v>5150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</row>
    <row r="14" spans="1:88" x14ac:dyDescent="0.35">
      <c r="A14">
        <v>1440</v>
      </c>
      <c r="B14">
        <v>1590</v>
      </c>
      <c r="C14">
        <v>2440</v>
      </c>
      <c r="D14">
        <v>1740</v>
      </c>
      <c r="E14">
        <v>2590</v>
      </c>
      <c r="F14">
        <v>3440</v>
      </c>
      <c r="G14">
        <v>1890</v>
      </c>
      <c r="H14">
        <v>2740</v>
      </c>
      <c r="I14">
        <v>3590</v>
      </c>
      <c r="J14">
        <v>4440</v>
      </c>
      <c r="K14">
        <v>1790</v>
      </c>
      <c r="L14">
        <v>1940</v>
      </c>
      <c r="M14">
        <v>2790</v>
      </c>
      <c r="N14">
        <v>2090</v>
      </c>
      <c r="O14">
        <v>2940</v>
      </c>
      <c r="P14">
        <v>3790</v>
      </c>
      <c r="Q14">
        <v>3240</v>
      </c>
      <c r="R14">
        <v>3390</v>
      </c>
      <c r="S14">
        <v>4240</v>
      </c>
      <c r="T14">
        <v>3540</v>
      </c>
      <c r="U14">
        <v>4390</v>
      </c>
      <c r="V14">
        <v>5240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</row>
    <row r="15" spans="1:88" x14ac:dyDescent="0.35">
      <c r="A15">
        <v>1350</v>
      </c>
      <c r="B15">
        <v>1500</v>
      </c>
      <c r="C15">
        <v>2350</v>
      </c>
      <c r="D15">
        <v>1650</v>
      </c>
      <c r="E15">
        <v>2500</v>
      </c>
      <c r="F15">
        <v>3350</v>
      </c>
      <c r="G15">
        <v>1800</v>
      </c>
      <c r="H15">
        <v>2650</v>
      </c>
      <c r="I15">
        <v>3500</v>
      </c>
      <c r="J15">
        <v>4350</v>
      </c>
      <c r="K15">
        <v>1700</v>
      </c>
      <c r="L15">
        <v>1850</v>
      </c>
      <c r="M15">
        <v>2700</v>
      </c>
      <c r="N15">
        <v>2000</v>
      </c>
      <c r="O15">
        <v>2850</v>
      </c>
      <c r="P15">
        <v>3700</v>
      </c>
      <c r="Q15">
        <v>3150</v>
      </c>
      <c r="R15">
        <v>3300</v>
      </c>
      <c r="S15">
        <v>4150</v>
      </c>
      <c r="T15">
        <v>3450</v>
      </c>
      <c r="U15">
        <v>4300</v>
      </c>
      <c r="V15">
        <v>5150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</row>
    <row r="16" spans="1:88" x14ac:dyDescent="0.35">
      <c r="A16">
        <v>1710</v>
      </c>
      <c r="B16">
        <v>1860</v>
      </c>
      <c r="C16">
        <v>2710</v>
      </c>
      <c r="D16">
        <v>2010</v>
      </c>
      <c r="E16">
        <v>2860</v>
      </c>
      <c r="F16">
        <v>3710</v>
      </c>
      <c r="G16">
        <v>2160</v>
      </c>
      <c r="H16">
        <v>3010</v>
      </c>
      <c r="I16">
        <v>3860</v>
      </c>
      <c r="J16">
        <v>4710</v>
      </c>
      <c r="K16">
        <v>2060</v>
      </c>
      <c r="L16">
        <v>2210</v>
      </c>
      <c r="M16">
        <v>3060</v>
      </c>
      <c r="N16">
        <v>2360</v>
      </c>
      <c r="O16">
        <v>3210</v>
      </c>
      <c r="P16">
        <v>4060</v>
      </c>
      <c r="Q16">
        <v>3510</v>
      </c>
      <c r="R16">
        <v>3660</v>
      </c>
      <c r="S16">
        <v>4510</v>
      </c>
      <c r="T16">
        <v>3810</v>
      </c>
      <c r="U16">
        <v>4660</v>
      </c>
      <c r="V16">
        <v>5510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</row>
    <row r="17" spans="1:88" x14ac:dyDescent="0.35">
      <c r="A17">
        <v>1710</v>
      </c>
      <c r="B17">
        <v>1860</v>
      </c>
      <c r="C17">
        <v>2710</v>
      </c>
      <c r="D17">
        <v>2010</v>
      </c>
      <c r="E17">
        <v>2860</v>
      </c>
      <c r="F17">
        <v>3710</v>
      </c>
      <c r="G17">
        <v>2160</v>
      </c>
      <c r="H17">
        <v>3010</v>
      </c>
      <c r="I17">
        <v>3860</v>
      </c>
      <c r="J17">
        <v>4710</v>
      </c>
      <c r="K17">
        <v>2060</v>
      </c>
      <c r="L17">
        <v>2210</v>
      </c>
      <c r="M17">
        <v>3060</v>
      </c>
      <c r="N17">
        <v>2360</v>
      </c>
      <c r="O17">
        <v>3210</v>
      </c>
      <c r="P17">
        <v>4060</v>
      </c>
      <c r="Q17">
        <v>3510</v>
      </c>
      <c r="R17">
        <v>3660</v>
      </c>
      <c r="S17">
        <v>4510</v>
      </c>
      <c r="T17">
        <v>3810</v>
      </c>
      <c r="U17">
        <v>4660</v>
      </c>
      <c r="V17">
        <v>5510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</row>
    <row r="18" spans="1:88" x14ac:dyDescent="0.35">
      <c r="A18">
        <v>900</v>
      </c>
      <c r="B18">
        <v>1050</v>
      </c>
      <c r="C18">
        <v>1900</v>
      </c>
      <c r="D18">
        <v>1200</v>
      </c>
      <c r="E18">
        <v>2050</v>
      </c>
      <c r="F18">
        <v>2900</v>
      </c>
      <c r="G18">
        <v>1350</v>
      </c>
      <c r="H18">
        <v>2200</v>
      </c>
      <c r="I18">
        <v>3050</v>
      </c>
      <c r="J18">
        <v>3900</v>
      </c>
      <c r="K18">
        <v>1250</v>
      </c>
      <c r="L18">
        <v>1400</v>
      </c>
      <c r="M18">
        <v>2250</v>
      </c>
      <c r="N18">
        <v>1550</v>
      </c>
      <c r="O18">
        <v>2400</v>
      </c>
      <c r="P18">
        <v>3250</v>
      </c>
      <c r="Q18">
        <v>2700</v>
      </c>
      <c r="R18">
        <v>2850</v>
      </c>
      <c r="S18">
        <v>3700</v>
      </c>
      <c r="T18">
        <v>3000</v>
      </c>
      <c r="U18">
        <v>3850</v>
      </c>
      <c r="V18">
        <v>4700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</row>
    <row r="19" spans="1:88" x14ac:dyDescent="0.35">
      <c r="A19">
        <v>1260</v>
      </c>
      <c r="B19">
        <v>1410</v>
      </c>
      <c r="C19">
        <v>2260</v>
      </c>
      <c r="D19">
        <v>1560</v>
      </c>
      <c r="E19">
        <v>2410</v>
      </c>
      <c r="F19">
        <v>3260</v>
      </c>
      <c r="G19">
        <v>1710</v>
      </c>
      <c r="H19">
        <v>2560</v>
      </c>
      <c r="I19">
        <v>3410</v>
      </c>
      <c r="J19">
        <v>4260</v>
      </c>
      <c r="K19">
        <v>1610</v>
      </c>
      <c r="L19">
        <v>1760</v>
      </c>
      <c r="M19">
        <v>2610</v>
      </c>
      <c r="N19">
        <v>1910</v>
      </c>
      <c r="O19">
        <v>2760</v>
      </c>
      <c r="P19">
        <v>3610</v>
      </c>
      <c r="Q19">
        <v>3060</v>
      </c>
      <c r="R19">
        <v>3210</v>
      </c>
      <c r="S19">
        <v>4060</v>
      </c>
      <c r="T19">
        <v>3360</v>
      </c>
      <c r="U19">
        <v>4210</v>
      </c>
      <c r="V19">
        <v>5060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</row>
    <row r="20" spans="1:88" x14ac:dyDescent="0.35">
      <c r="A20">
        <v>1440</v>
      </c>
      <c r="B20">
        <v>1590</v>
      </c>
      <c r="C20">
        <v>2440</v>
      </c>
      <c r="D20">
        <v>1740</v>
      </c>
      <c r="E20">
        <v>2590</v>
      </c>
      <c r="F20">
        <v>3440</v>
      </c>
      <c r="G20">
        <v>1890</v>
      </c>
      <c r="H20">
        <v>2740</v>
      </c>
      <c r="I20">
        <v>3590</v>
      </c>
      <c r="J20">
        <v>4440</v>
      </c>
      <c r="K20">
        <v>1790</v>
      </c>
      <c r="L20">
        <v>1940</v>
      </c>
      <c r="M20">
        <v>2790</v>
      </c>
      <c r="N20">
        <v>2090</v>
      </c>
      <c r="O20">
        <v>2940</v>
      </c>
      <c r="P20">
        <v>3790</v>
      </c>
      <c r="Q20">
        <v>3240</v>
      </c>
      <c r="R20">
        <v>3390</v>
      </c>
      <c r="S20">
        <v>4240</v>
      </c>
      <c r="T20">
        <v>3540</v>
      </c>
      <c r="U20">
        <v>4390</v>
      </c>
      <c r="V20">
        <v>5240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</row>
    <row r="21" spans="1:88" x14ac:dyDescent="0.35">
      <c r="A21">
        <v>1080</v>
      </c>
      <c r="B21">
        <v>1230</v>
      </c>
      <c r="C21">
        <v>2080</v>
      </c>
      <c r="D21">
        <v>1380</v>
      </c>
      <c r="E21">
        <v>2230</v>
      </c>
      <c r="F21">
        <v>3080</v>
      </c>
      <c r="G21">
        <v>1530</v>
      </c>
      <c r="H21">
        <v>2380</v>
      </c>
      <c r="I21">
        <v>3230</v>
      </c>
      <c r="J21">
        <v>4080</v>
      </c>
      <c r="K21">
        <v>1430</v>
      </c>
      <c r="L21">
        <v>1580</v>
      </c>
      <c r="M21">
        <v>2430</v>
      </c>
      <c r="N21">
        <v>1730</v>
      </c>
      <c r="O21">
        <v>2580</v>
      </c>
      <c r="P21">
        <v>3430</v>
      </c>
      <c r="Q21">
        <v>2880</v>
      </c>
      <c r="R21">
        <v>3030</v>
      </c>
      <c r="S21">
        <v>3880</v>
      </c>
      <c r="T21">
        <v>3180</v>
      </c>
      <c r="U21">
        <v>4030</v>
      </c>
      <c r="V21">
        <v>4880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</row>
    <row r="22" spans="1:88" x14ac:dyDescent="0.35">
      <c r="A22">
        <v>900</v>
      </c>
      <c r="B22">
        <v>1050</v>
      </c>
      <c r="C22">
        <v>1900</v>
      </c>
      <c r="D22">
        <v>1200</v>
      </c>
      <c r="E22">
        <v>2050</v>
      </c>
      <c r="F22">
        <v>2900</v>
      </c>
      <c r="G22">
        <v>1350</v>
      </c>
      <c r="H22">
        <v>2200</v>
      </c>
      <c r="I22">
        <v>3050</v>
      </c>
      <c r="J22">
        <v>3900</v>
      </c>
      <c r="K22">
        <v>1250</v>
      </c>
      <c r="L22">
        <v>1400</v>
      </c>
      <c r="M22">
        <v>2250</v>
      </c>
      <c r="N22">
        <v>1550</v>
      </c>
      <c r="O22">
        <v>2400</v>
      </c>
      <c r="P22">
        <v>3250</v>
      </c>
      <c r="Q22">
        <v>2700</v>
      </c>
      <c r="R22">
        <v>2850</v>
      </c>
      <c r="S22">
        <v>3700</v>
      </c>
      <c r="T22">
        <v>3000</v>
      </c>
      <c r="U22">
        <v>3850</v>
      </c>
      <c r="V22">
        <v>4700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</row>
    <row r="23" spans="1:88" x14ac:dyDescent="0.35">
      <c r="A23">
        <v>720</v>
      </c>
      <c r="B23">
        <v>870</v>
      </c>
      <c r="C23">
        <v>1720</v>
      </c>
      <c r="D23">
        <v>1020</v>
      </c>
      <c r="E23">
        <v>1870</v>
      </c>
      <c r="F23">
        <v>2720</v>
      </c>
      <c r="G23">
        <v>1170</v>
      </c>
      <c r="H23">
        <v>2020</v>
      </c>
      <c r="I23">
        <v>2870</v>
      </c>
      <c r="J23">
        <v>3720</v>
      </c>
      <c r="K23">
        <v>1070</v>
      </c>
      <c r="L23">
        <v>1220</v>
      </c>
      <c r="M23">
        <v>2070</v>
      </c>
      <c r="N23">
        <v>1370</v>
      </c>
      <c r="O23">
        <v>2220</v>
      </c>
      <c r="P23">
        <v>3070</v>
      </c>
      <c r="Q23">
        <v>2520</v>
      </c>
      <c r="R23">
        <v>2670</v>
      </c>
      <c r="S23">
        <v>3520</v>
      </c>
      <c r="T23">
        <v>2820</v>
      </c>
      <c r="U23">
        <v>3670</v>
      </c>
      <c r="V23">
        <v>4520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</row>
    <row r="24" spans="1:88" x14ac:dyDescent="0.35">
      <c r="A24">
        <v>1440</v>
      </c>
      <c r="B24">
        <v>1590</v>
      </c>
      <c r="C24">
        <v>2440</v>
      </c>
      <c r="D24">
        <v>1740</v>
      </c>
      <c r="E24">
        <v>2590</v>
      </c>
      <c r="F24">
        <v>3440</v>
      </c>
      <c r="G24">
        <v>1890</v>
      </c>
      <c r="H24">
        <v>2740</v>
      </c>
      <c r="I24">
        <v>3590</v>
      </c>
      <c r="J24">
        <v>4440</v>
      </c>
      <c r="K24">
        <v>1790</v>
      </c>
      <c r="L24">
        <v>1940</v>
      </c>
      <c r="M24">
        <v>2790</v>
      </c>
      <c r="N24">
        <v>2090</v>
      </c>
      <c r="O24">
        <v>2940</v>
      </c>
      <c r="P24">
        <v>3790</v>
      </c>
      <c r="Q24">
        <v>3240</v>
      </c>
      <c r="R24">
        <v>3390</v>
      </c>
      <c r="S24">
        <v>4240</v>
      </c>
      <c r="T24">
        <v>3540</v>
      </c>
      <c r="U24">
        <v>4390</v>
      </c>
      <c r="V24">
        <v>5240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</row>
    <row r="25" spans="1:88" x14ac:dyDescent="0.35">
      <c r="A25">
        <v>1260</v>
      </c>
      <c r="B25">
        <v>1410</v>
      </c>
      <c r="C25">
        <v>2260</v>
      </c>
      <c r="D25">
        <v>1560</v>
      </c>
      <c r="E25">
        <v>2410</v>
      </c>
      <c r="F25">
        <v>3260</v>
      </c>
      <c r="G25">
        <v>1710</v>
      </c>
      <c r="H25">
        <v>2560</v>
      </c>
      <c r="I25">
        <v>3410</v>
      </c>
      <c r="J25">
        <v>4260</v>
      </c>
      <c r="K25">
        <v>1610</v>
      </c>
      <c r="L25">
        <v>1760</v>
      </c>
      <c r="M25">
        <v>2610</v>
      </c>
      <c r="N25">
        <v>1910</v>
      </c>
      <c r="O25">
        <v>2760</v>
      </c>
      <c r="P25">
        <v>3610</v>
      </c>
      <c r="Q25">
        <v>3060</v>
      </c>
      <c r="R25">
        <v>3210</v>
      </c>
      <c r="S25">
        <v>4060</v>
      </c>
      <c r="T25">
        <v>3360</v>
      </c>
      <c r="U25">
        <v>4210</v>
      </c>
      <c r="V25">
        <v>5060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</row>
    <row r="26" spans="1:88" x14ac:dyDescent="0.35">
      <c r="A26">
        <v>1260</v>
      </c>
      <c r="B26">
        <v>1410</v>
      </c>
      <c r="C26">
        <v>2260</v>
      </c>
      <c r="D26">
        <v>1560</v>
      </c>
      <c r="E26">
        <v>2410</v>
      </c>
      <c r="F26">
        <v>3260</v>
      </c>
      <c r="G26">
        <v>1710</v>
      </c>
      <c r="H26">
        <v>2560</v>
      </c>
      <c r="I26">
        <v>3410</v>
      </c>
      <c r="J26">
        <v>4260</v>
      </c>
      <c r="K26">
        <v>1610</v>
      </c>
      <c r="L26">
        <v>1760</v>
      </c>
      <c r="M26">
        <v>2610</v>
      </c>
      <c r="N26">
        <v>1910</v>
      </c>
      <c r="O26">
        <v>2760</v>
      </c>
      <c r="P26">
        <v>3610</v>
      </c>
      <c r="Q26">
        <v>3060</v>
      </c>
      <c r="R26">
        <v>3210</v>
      </c>
      <c r="S26">
        <v>4060</v>
      </c>
      <c r="T26">
        <v>3360</v>
      </c>
      <c r="U26">
        <v>4210</v>
      </c>
      <c r="V26">
        <v>5060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</row>
    <row r="27" spans="1:88" x14ac:dyDescent="0.35">
      <c r="A27">
        <v>1170</v>
      </c>
      <c r="B27">
        <v>1320</v>
      </c>
      <c r="C27">
        <v>2170</v>
      </c>
      <c r="D27">
        <v>1470</v>
      </c>
      <c r="E27">
        <v>2320</v>
      </c>
      <c r="F27">
        <v>3170</v>
      </c>
      <c r="G27">
        <v>1620</v>
      </c>
      <c r="H27">
        <v>2470</v>
      </c>
      <c r="I27">
        <v>3320</v>
      </c>
      <c r="J27">
        <v>4170</v>
      </c>
      <c r="K27">
        <v>1520</v>
      </c>
      <c r="L27">
        <v>1670</v>
      </c>
      <c r="M27">
        <v>2520</v>
      </c>
      <c r="N27">
        <v>1820</v>
      </c>
      <c r="O27">
        <v>2670</v>
      </c>
      <c r="P27">
        <v>3520</v>
      </c>
      <c r="Q27">
        <v>2970</v>
      </c>
      <c r="R27">
        <v>3120</v>
      </c>
      <c r="S27">
        <v>3970</v>
      </c>
      <c r="T27">
        <v>3270</v>
      </c>
      <c r="U27">
        <v>4120</v>
      </c>
      <c r="V27">
        <v>4970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</row>
    <row r="28" spans="1:88" x14ac:dyDescent="0.35">
      <c r="A28">
        <v>1080</v>
      </c>
      <c r="B28">
        <v>1230</v>
      </c>
      <c r="C28">
        <v>2080</v>
      </c>
      <c r="D28">
        <v>1380</v>
      </c>
      <c r="E28">
        <v>2230</v>
      </c>
      <c r="F28">
        <v>3080</v>
      </c>
      <c r="G28">
        <v>1530</v>
      </c>
      <c r="H28">
        <v>2380</v>
      </c>
      <c r="I28">
        <v>3230</v>
      </c>
      <c r="J28">
        <v>4080</v>
      </c>
      <c r="K28">
        <v>1430</v>
      </c>
      <c r="L28">
        <v>1580</v>
      </c>
      <c r="M28">
        <v>2430</v>
      </c>
      <c r="N28">
        <v>1730</v>
      </c>
      <c r="O28">
        <v>2580</v>
      </c>
      <c r="P28">
        <v>3430</v>
      </c>
      <c r="Q28">
        <v>2880</v>
      </c>
      <c r="R28">
        <v>3030</v>
      </c>
      <c r="S28">
        <v>3880</v>
      </c>
      <c r="T28">
        <v>3180</v>
      </c>
      <c r="U28">
        <v>4030</v>
      </c>
      <c r="V28">
        <v>4880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</row>
    <row r="29" spans="1:88" x14ac:dyDescent="0.35">
      <c r="A29">
        <v>1260</v>
      </c>
      <c r="B29">
        <v>1410</v>
      </c>
      <c r="C29">
        <v>2260</v>
      </c>
      <c r="D29">
        <v>1560</v>
      </c>
      <c r="E29">
        <v>2410</v>
      </c>
      <c r="F29">
        <v>3260</v>
      </c>
      <c r="G29">
        <v>1710</v>
      </c>
      <c r="H29">
        <v>2560</v>
      </c>
      <c r="I29">
        <v>3410</v>
      </c>
      <c r="J29">
        <v>4260</v>
      </c>
      <c r="K29">
        <v>1610</v>
      </c>
      <c r="L29">
        <v>1760</v>
      </c>
      <c r="M29">
        <v>2610</v>
      </c>
      <c r="N29">
        <v>1910</v>
      </c>
      <c r="O29">
        <v>2760</v>
      </c>
      <c r="P29">
        <v>3610</v>
      </c>
      <c r="Q29">
        <v>3060</v>
      </c>
      <c r="R29">
        <v>3210</v>
      </c>
      <c r="S29">
        <v>4060</v>
      </c>
      <c r="T29">
        <v>3360</v>
      </c>
      <c r="U29">
        <v>4210</v>
      </c>
      <c r="V29">
        <v>5060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</row>
    <row r="30" spans="1:88" x14ac:dyDescent="0.35">
      <c r="A30">
        <v>1350</v>
      </c>
      <c r="B30">
        <v>1500</v>
      </c>
      <c r="C30">
        <v>2350</v>
      </c>
      <c r="D30">
        <v>1650</v>
      </c>
      <c r="E30">
        <v>2500</v>
      </c>
      <c r="F30">
        <v>3350</v>
      </c>
      <c r="G30">
        <v>1800</v>
      </c>
      <c r="H30">
        <v>2650</v>
      </c>
      <c r="I30">
        <v>3500</v>
      </c>
      <c r="J30">
        <v>4350</v>
      </c>
      <c r="K30">
        <v>1700</v>
      </c>
      <c r="L30">
        <v>1850</v>
      </c>
      <c r="M30">
        <v>2700</v>
      </c>
      <c r="N30">
        <v>2000</v>
      </c>
      <c r="O30">
        <v>2850</v>
      </c>
      <c r="P30">
        <v>3700</v>
      </c>
      <c r="Q30">
        <v>3150</v>
      </c>
      <c r="R30">
        <v>3300</v>
      </c>
      <c r="S30">
        <v>4150</v>
      </c>
      <c r="T30">
        <v>3450</v>
      </c>
      <c r="U30">
        <v>4300</v>
      </c>
      <c r="V30">
        <v>5150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</row>
    <row r="31" spans="1:88" x14ac:dyDescent="0.35">
      <c r="A31">
        <v>1350</v>
      </c>
      <c r="B31">
        <v>1500</v>
      </c>
      <c r="C31">
        <v>2350</v>
      </c>
      <c r="D31">
        <v>1650</v>
      </c>
      <c r="E31">
        <v>2500</v>
      </c>
      <c r="F31">
        <v>3350</v>
      </c>
      <c r="G31">
        <v>1800</v>
      </c>
      <c r="H31">
        <v>2650</v>
      </c>
      <c r="I31">
        <v>3500</v>
      </c>
      <c r="J31">
        <v>4350</v>
      </c>
      <c r="K31">
        <v>1700</v>
      </c>
      <c r="L31">
        <v>1850</v>
      </c>
      <c r="M31">
        <v>2700</v>
      </c>
      <c r="N31">
        <v>2000</v>
      </c>
      <c r="O31">
        <v>2850</v>
      </c>
      <c r="P31">
        <v>3700</v>
      </c>
      <c r="Q31">
        <v>3150</v>
      </c>
      <c r="R31">
        <v>3300</v>
      </c>
      <c r="S31">
        <v>4150</v>
      </c>
      <c r="T31">
        <v>3450</v>
      </c>
      <c r="U31">
        <v>4300</v>
      </c>
      <c r="V31">
        <v>5150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</row>
    <row r="32" spans="1:88" x14ac:dyDescent="0.35">
      <c r="A32">
        <v>1170</v>
      </c>
      <c r="B32">
        <v>1320</v>
      </c>
      <c r="C32">
        <v>2170</v>
      </c>
      <c r="D32">
        <v>1470</v>
      </c>
      <c r="E32">
        <v>2320</v>
      </c>
      <c r="F32">
        <v>3170</v>
      </c>
      <c r="G32">
        <v>1620</v>
      </c>
      <c r="H32">
        <v>2470</v>
      </c>
      <c r="I32">
        <v>3320</v>
      </c>
      <c r="J32">
        <v>4170</v>
      </c>
      <c r="K32">
        <v>1520</v>
      </c>
      <c r="L32">
        <v>1670</v>
      </c>
      <c r="M32">
        <v>2520</v>
      </c>
      <c r="N32">
        <v>1820</v>
      </c>
      <c r="O32">
        <v>2670</v>
      </c>
      <c r="P32">
        <v>3520</v>
      </c>
      <c r="Q32">
        <v>2970</v>
      </c>
      <c r="R32">
        <v>3120</v>
      </c>
      <c r="S32">
        <v>3970</v>
      </c>
      <c r="T32">
        <v>3270</v>
      </c>
      <c r="U32">
        <v>4120</v>
      </c>
      <c r="V32">
        <v>4970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</row>
    <row r="33" spans="1:88" x14ac:dyDescent="0.35">
      <c r="A33">
        <v>1620</v>
      </c>
      <c r="B33">
        <v>1770</v>
      </c>
      <c r="C33">
        <v>2620</v>
      </c>
      <c r="D33">
        <v>1920</v>
      </c>
      <c r="E33">
        <v>2770</v>
      </c>
      <c r="F33">
        <v>3620</v>
      </c>
      <c r="G33">
        <v>2070</v>
      </c>
      <c r="H33">
        <v>2920</v>
      </c>
      <c r="I33">
        <v>3770</v>
      </c>
      <c r="J33">
        <v>4620</v>
      </c>
      <c r="K33">
        <v>1970</v>
      </c>
      <c r="L33">
        <v>2120</v>
      </c>
      <c r="M33">
        <v>2970</v>
      </c>
      <c r="N33">
        <v>2270</v>
      </c>
      <c r="O33">
        <v>3120</v>
      </c>
      <c r="P33">
        <v>3970</v>
      </c>
      <c r="Q33">
        <v>3420</v>
      </c>
      <c r="R33">
        <v>3570</v>
      </c>
      <c r="S33">
        <v>4420</v>
      </c>
      <c r="T33">
        <v>3720</v>
      </c>
      <c r="U33">
        <v>4570</v>
      </c>
      <c r="V33">
        <v>5420</v>
      </c>
      <c r="W33">
        <v>2020</v>
      </c>
      <c r="X33">
        <v>2170</v>
      </c>
      <c r="Y33">
        <v>3020</v>
      </c>
      <c r="Z33">
        <v>2320</v>
      </c>
      <c r="AA33">
        <v>3170</v>
      </c>
      <c r="AB33">
        <v>4020</v>
      </c>
      <c r="AC33">
        <v>2470</v>
      </c>
      <c r="AD33">
        <v>3320</v>
      </c>
      <c r="AE33">
        <v>4170</v>
      </c>
      <c r="AF33">
        <v>5020</v>
      </c>
      <c r="AG33">
        <v>2370</v>
      </c>
      <c r="AH33">
        <v>2520</v>
      </c>
      <c r="AI33">
        <v>3370</v>
      </c>
      <c r="AJ33">
        <v>2670</v>
      </c>
      <c r="AK33">
        <v>3520</v>
      </c>
      <c r="AL33">
        <v>4370</v>
      </c>
      <c r="AM33">
        <v>3820</v>
      </c>
      <c r="AN33">
        <v>3970</v>
      </c>
      <c r="AO33">
        <v>4820</v>
      </c>
      <c r="AP33">
        <v>4120</v>
      </c>
      <c r="AQ33">
        <v>4970</v>
      </c>
      <c r="AR33">
        <v>5820</v>
      </c>
      <c r="AS33">
        <v>2620</v>
      </c>
      <c r="AT33">
        <v>2770</v>
      </c>
      <c r="AU33">
        <v>3620</v>
      </c>
      <c r="AV33">
        <v>2920</v>
      </c>
      <c r="AW33">
        <v>3770</v>
      </c>
      <c r="AX33">
        <v>4620</v>
      </c>
      <c r="AY33">
        <v>3070</v>
      </c>
      <c r="AZ33">
        <v>3920</v>
      </c>
      <c r="BA33">
        <v>4770</v>
      </c>
      <c r="BB33">
        <v>5620</v>
      </c>
      <c r="BC33">
        <v>2970</v>
      </c>
      <c r="BD33">
        <v>3120</v>
      </c>
      <c r="BE33">
        <v>3970</v>
      </c>
      <c r="BF33">
        <v>3270</v>
      </c>
      <c r="BG33">
        <v>4120</v>
      </c>
      <c r="BH33">
        <v>4970</v>
      </c>
      <c r="BI33">
        <v>4420</v>
      </c>
      <c r="BJ33">
        <v>4570</v>
      </c>
      <c r="BK33">
        <v>5420</v>
      </c>
      <c r="BL33">
        <v>4720</v>
      </c>
      <c r="BM33">
        <v>5570</v>
      </c>
      <c r="BN33">
        <v>6420</v>
      </c>
      <c r="BO33">
        <v>3220</v>
      </c>
      <c r="BP33">
        <v>3370</v>
      </c>
      <c r="BQ33">
        <v>4220</v>
      </c>
      <c r="BR33">
        <v>3520</v>
      </c>
      <c r="BS33">
        <v>4370</v>
      </c>
      <c r="BT33">
        <v>5220</v>
      </c>
      <c r="BU33">
        <v>3670</v>
      </c>
      <c r="BV33">
        <v>4520</v>
      </c>
      <c r="BW33">
        <v>5370</v>
      </c>
      <c r="BX33">
        <v>6220</v>
      </c>
      <c r="BY33">
        <v>3570</v>
      </c>
      <c r="BZ33">
        <v>3720</v>
      </c>
      <c r="CA33">
        <v>4570</v>
      </c>
      <c r="CB33">
        <v>3870</v>
      </c>
      <c r="CC33">
        <v>4720</v>
      </c>
      <c r="CD33">
        <v>5570</v>
      </c>
      <c r="CE33">
        <v>5020</v>
      </c>
      <c r="CF33">
        <v>5170</v>
      </c>
      <c r="CG33">
        <v>6020</v>
      </c>
      <c r="CH33">
        <v>5320</v>
      </c>
      <c r="CI33">
        <v>6170</v>
      </c>
      <c r="CJ33">
        <v>7020</v>
      </c>
    </row>
    <row r="34" spans="1:88" x14ac:dyDescent="0.35">
      <c r="A34">
        <v>1170</v>
      </c>
      <c r="B34">
        <v>1320</v>
      </c>
      <c r="C34">
        <v>2170</v>
      </c>
      <c r="D34">
        <v>1470</v>
      </c>
      <c r="E34">
        <v>2320</v>
      </c>
      <c r="F34">
        <v>3170</v>
      </c>
      <c r="G34">
        <v>1620</v>
      </c>
      <c r="H34">
        <v>2470</v>
      </c>
      <c r="I34">
        <v>3320</v>
      </c>
      <c r="J34">
        <v>4170</v>
      </c>
      <c r="K34">
        <v>1520</v>
      </c>
      <c r="L34">
        <v>1670</v>
      </c>
      <c r="M34">
        <v>2520</v>
      </c>
      <c r="N34">
        <v>1820</v>
      </c>
      <c r="O34">
        <v>2670</v>
      </c>
      <c r="P34">
        <v>3520</v>
      </c>
      <c r="Q34">
        <v>2970</v>
      </c>
      <c r="R34">
        <v>3120</v>
      </c>
      <c r="S34">
        <v>3970</v>
      </c>
      <c r="T34">
        <v>3270</v>
      </c>
      <c r="U34">
        <v>4120</v>
      </c>
      <c r="V34">
        <v>4970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</row>
    <row r="35" spans="1:88" x14ac:dyDescent="0.35">
      <c r="A35">
        <v>1080</v>
      </c>
      <c r="B35">
        <v>1230</v>
      </c>
      <c r="C35">
        <v>2080</v>
      </c>
      <c r="D35">
        <v>1380</v>
      </c>
      <c r="E35">
        <v>2230</v>
      </c>
      <c r="F35">
        <v>3080</v>
      </c>
      <c r="G35">
        <v>1530</v>
      </c>
      <c r="H35">
        <v>2380</v>
      </c>
      <c r="I35">
        <v>3230</v>
      </c>
      <c r="J35">
        <v>4080</v>
      </c>
      <c r="K35">
        <v>1430</v>
      </c>
      <c r="L35">
        <v>1580</v>
      </c>
      <c r="M35">
        <v>2430</v>
      </c>
      <c r="N35">
        <v>1730</v>
      </c>
      <c r="O35">
        <v>2580</v>
      </c>
      <c r="P35">
        <v>3430</v>
      </c>
      <c r="Q35">
        <v>2880</v>
      </c>
      <c r="R35">
        <v>3030</v>
      </c>
      <c r="S35">
        <v>3880</v>
      </c>
      <c r="T35">
        <v>3180</v>
      </c>
      <c r="U35">
        <v>4030</v>
      </c>
      <c r="V35">
        <v>4880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</row>
    <row r="36" spans="1:88" x14ac:dyDescent="0.35">
      <c r="A36">
        <v>1170</v>
      </c>
      <c r="B36">
        <v>1320</v>
      </c>
      <c r="C36">
        <v>2170</v>
      </c>
      <c r="D36">
        <v>1470</v>
      </c>
      <c r="E36">
        <v>2320</v>
      </c>
      <c r="F36">
        <v>3170</v>
      </c>
      <c r="G36">
        <v>1620</v>
      </c>
      <c r="H36">
        <v>2470</v>
      </c>
      <c r="I36">
        <v>3320</v>
      </c>
      <c r="J36">
        <v>4170</v>
      </c>
      <c r="K36">
        <v>1520</v>
      </c>
      <c r="L36">
        <v>1670</v>
      </c>
      <c r="M36">
        <v>2520</v>
      </c>
      <c r="N36">
        <v>1820</v>
      </c>
      <c r="O36">
        <v>2670</v>
      </c>
      <c r="P36">
        <v>3520</v>
      </c>
      <c r="Q36">
        <v>2970</v>
      </c>
      <c r="R36">
        <v>3120</v>
      </c>
      <c r="S36">
        <v>3970</v>
      </c>
      <c r="T36">
        <v>3270</v>
      </c>
      <c r="U36">
        <v>4120</v>
      </c>
      <c r="V36">
        <v>4970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</row>
    <row r="37" spans="1:88" x14ac:dyDescent="0.35">
      <c r="A37">
        <v>1440</v>
      </c>
      <c r="B37">
        <v>1590</v>
      </c>
      <c r="C37">
        <v>2440</v>
      </c>
      <c r="D37">
        <v>1740</v>
      </c>
      <c r="E37">
        <v>2590</v>
      </c>
      <c r="F37">
        <v>3440</v>
      </c>
      <c r="G37">
        <v>1890</v>
      </c>
      <c r="H37">
        <v>2740</v>
      </c>
      <c r="I37">
        <v>3590</v>
      </c>
      <c r="J37">
        <v>4440</v>
      </c>
      <c r="K37">
        <v>1790</v>
      </c>
      <c r="L37">
        <v>1940</v>
      </c>
      <c r="M37">
        <v>2790</v>
      </c>
      <c r="N37">
        <v>2090</v>
      </c>
      <c r="O37">
        <v>2940</v>
      </c>
      <c r="P37">
        <v>3790</v>
      </c>
      <c r="Q37">
        <v>3240</v>
      </c>
      <c r="R37">
        <v>3390</v>
      </c>
      <c r="S37">
        <v>4240</v>
      </c>
      <c r="T37">
        <v>3540</v>
      </c>
      <c r="U37">
        <v>4390</v>
      </c>
      <c r="V37">
        <v>5240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</row>
    <row r="38" spans="1:88" x14ac:dyDescent="0.35">
      <c r="A38">
        <v>1620</v>
      </c>
      <c r="B38">
        <v>1770</v>
      </c>
      <c r="C38">
        <v>2620</v>
      </c>
      <c r="D38">
        <v>1920</v>
      </c>
      <c r="E38">
        <v>2770</v>
      </c>
      <c r="F38">
        <v>3620</v>
      </c>
      <c r="G38">
        <v>2070</v>
      </c>
      <c r="H38">
        <v>2920</v>
      </c>
      <c r="I38">
        <v>3770</v>
      </c>
      <c r="J38">
        <v>4620</v>
      </c>
      <c r="K38">
        <v>1970</v>
      </c>
      <c r="L38">
        <v>2120</v>
      </c>
      <c r="M38">
        <v>2970</v>
      </c>
      <c r="N38">
        <v>2270</v>
      </c>
      <c r="O38">
        <v>3120</v>
      </c>
      <c r="P38">
        <v>3970</v>
      </c>
      <c r="Q38">
        <v>3420</v>
      </c>
      <c r="R38">
        <v>3570</v>
      </c>
      <c r="S38">
        <v>4420</v>
      </c>
      <c r="T38">
        <v>3720</v>
      </c>
      <c r="U38">
        <v>4570</v>
      </c>
      <c r="V38">
        <v>5420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</row>
    <row r="39" spans="1:88" x14ac:dyDescent="0.35">
      <c r="A39">
        <v>1440</v>
      </c>
      <c r="B39">
        <v>1590</v>
      </c>
      <c r="C39">
        <v>2440</v>
      </c>
      <c r="D39">
        <v>1740</v>
      </c>
      <c r="E39">
        <v>2590</v>
      </c>
      <c r="F39">
        <v>3440</v>
      </c>
      <c r="G39">
        <v>1890</v>
      </c>
      <c r="H39">
        <v>2740</v>
      </c>
      <c r="I39">
        <v>3590</v>
      </c>
      <c r="J39">
        <v>4440</v>
      </c>
      <c r="K39">
        <v>1790</v>
      </c>
      <c r="L39">
        <v>1940</v>
      </c>
      <c r="M39">
        <v>2790</v>
      </c>
      <c r="N39">
        <v>2090</v>
      </c>
      <c r="O39">
        <v>2940</v>
      </c>
      <c r="P39">
        <v>3790</v>
      </c>
      <c r="Q39">
        <v>3240</v>
      </c>
      <c r="R39">
        <v>3390</v>
      </c>
      <c r="S39">
        <v>4240</v>
      </c>
      <c r="T39">
        <v>3540</v>
      </c>
      <c r="U39">
        <v>4390</v>
      </c>
      <c r="V39">
        <v>5240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</row>
    <row r="40" spans="1:88" x14ac:dyDescent="0.35">
      <c r="A40">
        <v>1350</v>
      </c>
      <c r="B40">
        <v>1500</v>
      </c>
      <c r="C40">
        <v>2350</v>
      </c>
      <c r="D40">
        <v>1650</v>
      </c>
      <c r="E40">
        <v>2500</v>
      </c>
      <c r="F40">
        <v>3350</v>
      </c>
      <c r="G40">
        <v>1800</v>
      </c>
      <c r="H40">
        <v>2650</v>
      </c>
      <c r="I40">
        <v>3500</v>
      </c>
      <c r="J40">
        <v>4350</v>
      </c>
      <c r="K40">
        <v>1700</v>
      </c>
      <c r="L40">
        <v>1850</v>
      </c>
      <c r="M40">
        <v>2700</v>
      </c>
      <c r="N40">
        <v>2000</v>
      </c>
      <c r="O40">
        <v>2850</v>
      </c>
      <c r="P40">
        <v>3700</v>
      </c>
      <c r="Q40">
        <v>3150</v>
      </c>
      <c r="R40">
        <v>3300</v>
      </c>
      <c r="S40">
        <v>4150</v>
      </c>
      <c r="T40">
        <v>3450</v>
      </c>
      <c r="U40">
        <v>4300</v>
      </c>
      <c r="V40">
        <v>5150</v>
      </c>
      <c r="W40">
        <v>1750</v>
      </c>
      <c r="X40">
        <v>1900</v>
      </c>
      <c r="Y40">
        <v>2750</v>
      </c>
      <c r="Z40">
        <v>2050</v>
      </c>
      <c r="AA40">
        <v>2900</v>
      </c>
      <c r="AB40">
        <v>3750</v>
      </c>
      <c r="AC40">
        <v>2200</v>
      </c>
      <c r="AD40">
        <v>3050</v>
      </c>
      <c r="AE40">
        <v>3900</v>
      </c>
      <c r="AF40">
        <v>4750</v>
      </c>
      <c r="AG40">
        <v>2100</v>
      </c>
      <c r="AH40">
        <v>2250</v>
      </c>
      <c r="AI40">
        <v>3100</v>
      </c>
      <c r="AJ40">
        <v>2400</v>
      </c>
      <c r="AK40">
        <v>3250</v>
      </c>
      <c r="AL40">
        <v>4100</v>
      </c>
      <c r="AM40">
        <v>3550</v>
      </c>
      <c r="AN40">
        <v>3700</v>
      </c>
      <c r="AO40">
        <v>4550</v>
      </c>
      <c r="AP40">
        <v>3850</v>
      </c>
      <c r="AQ40">
        <v>4700</v>
      </c>
      <c r="AR40">
        <v>5550</v>
      </c>
      <c r="AS40">
        <v>2350</v>
      </c>
      <c r="AT40">
        <v>2500</v>
      </c>
      <c r="AU40">
        <v>3350</v>
      </c>
      <c r="AV40">
        <v>2650</v>
      </c>
      <c r="AW40">
        <v>3500</v>
      </c>
      <c r="AX40">
        <v>4350</v>
      </c>
      <c r="AY40">
        <v>2800</v>
      </c>
      <c r="AZ40">
        <v>3650</v>
      </c>
      <c r="BA40">
        <v>4500</v>
      </c>
      <c r="BB40">
        <v>5350</v>
      </c>
      <c r="BC40">
        <v>2700</v>
      </c>
      <c r="BD40">
        <v>2850</v>
      </c>
      <c r="BE40">
        <v>3700</v>
      </c>
      <c r="BF40">
        <v>3000</v>
      </c>
      <c r="BG40">
        <v>3850</v>
      </c>
      <c r="BH40">
        <v>4700</v>
      </c>
      <c r="BI40">
        <v>4150</v>
      </c>
      <c r="BJ40">
        <v>4300</v>
      </c>
      <c r="BK40">
        <v>5150</v>
      </c>
      <c r="BL40">
        <v>4450</v>
      </c>
      <c r="BM40">
        <v>5300</v>
      </c>
      <c r="BN40">
        <v>6150</v>
      </c>
      <c r="BO40">
        <v>2950</v>
      </c>
      <c r="BP40">
        <v>3100</v>
      </c>
      <c r="BQ40">
        <v>3950</v>
      </c>
      <c r="BR40">
        <v>3250</v>
      </c>
      <c r="BS40">
        <v>4100</v>
      </c>
      <c r="BT40">
        <v>4950</v>
      </c>
      <c r="BU40">
        <v>3400</v>
      </c>
      <c r="BV40">
        <v>4250</v>
      </c>
      <c r="BW40">
        <v>5100</v>
      </c>
      <c r="BX40">
        <v>5950</v>
      </c>
      <c r="BY40">
        <v>3300</v>
      </c>
      <c r="BZ40">
        <v>3450</v>
      </c>
      <c r="CA40">
        <v>4300</v>
      </c>
      <c r="CB40">
        <v>3600</v>
      </c>
      <c r="CC40">
        <v>4450</v>
      </c>
      <c r="CD40">
        <v>5300</v>
      </c>
      <c r="CE40">
        <v>4750</v>
      </c>
      <c r="CF40">
        <v>4900</v>
      </c>
      <c r="CG40">
        <v>5750</v>
      </c>
      <c r="CH40">
        <v>5050</v>
      </c>
      <c r="CI40">
        <v>5900</v>
      </c>
      <c r="CJ40">
        <v>6750</v>
      </c>
    </row>
    <row r="41" spans="1:88" x14ac:dyDescent="0.35">
      <c r="A41">
        <v>900</v>
      </c>
      <c r="B41">
        <v>1050</v>
      </c>
      <c r="C41">
        <v>1900</v>
      </c>
      <c r="D41">
        <v>1200</v>
      </c>
      <c r="E41">
        <v>2050</v>
      </c>
      <c r="F41">
        <v>2900</v>
      </c>
      <c r="G41">
        <v>1350</v>
      </c>
      <c r="H41">
        <v>2200</v>
      </c>
      <c r="I41">
        <v>3050</v>
      </c>
      <c r="J41">
        <v>3900</v>
      </c>
      <c r="K41">
        <v>1250</v>
      </c>
      <c r="L41">
        <v>1400</v>
      </c>
      <c r="M41">
        <v>2250</v>
      </c>
      <c r="N41">
        <v>1550</v>
      </c>
      <c r="O41">
        <v>2400</v>
      </c>
      <c r="P41">
        <v>3250</v>
      </c>
      <c r="Q41">
        <v>2700</v>
      </c>
      <c r="R41">
        <v>2850</v>
      </c>
      <c r="S41">
        <v>3700</v>
      </c>
      <c r="T41">
        <v>3000</v>
      </c>
      <c r="U41">
        <v>3850</v>
      </c>
      <c r="V41">
        <v>4700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</row>
    <row r="42" spans="1:88" x14ac:dyDescent="0.35">
      <c r="A42">
        <v>1440</v>
      </c>
      <c r="B42">
        <v>1590</v>
      </c>
      <c r="C42">
        <v>2440</v>
      </c>
      <c r="D42">
        <v>1740</v>
      </c>
      <c r="E42">
        <v>2590</v>
      </c>
      <c r="F42">
        <v>3440</v>
      </c>
      <c r="G42">
        <v>1890</v>
      </c>
      <c r="H42">
        <v>2740</v>
      </c>
      <c r="I42">
        <v>3590</v>
      </c>
      <c r="J42">
        <v>4440</v>
      </c>
      <c r="K42">
        <v>1790</v>
      </c>
      <c r="L42">
        <v>1940</v>
      </c>
      <c r="M42">
        <v>2790</v>
      </c>
      <c r="N42">
        <v>2090</v>
      </c>
      <c r="O42">
        <v>2940</v>
      </c>
      <c r="P42">
        <v>3790</v>
      </c>
      <c r="Q42">
        <v>3240</v>
      </c>
      <c r="R42">
        <v>3390</v>
      </c>
      <c r="S42">
        <v>4240</v>
      </c>
      <c r="T42">
        <v>3540</v>
      </c>
      <c r="U42">
        <v>4390</v>
      </c>
      <c r="V42">
        <v>5240</v>
      </c>
      <c r="W42">
        <v>1840</v>
      </c>
      <c r="X42">
        <v>1990</v>
      </c>
      <c r="Y42">
        <v>2840</v>
      </c>
      <c r="Z42">
        <v>2140</v>
      </c>
      <c r="AA42">
        <v>2990</v>
      </c>
      <c r="AB42">
        <v>3840</v>
      </c>
      <c r="AC42">
        <v>2290</v>
      </c>
      <c r="AD42">
        <v>3140</v>
      </c>
      <c r="AE42">
        <v>3990</v>
      </c>
      <c r="AF42">
        <v>4840</v>
      </c>
      <c r="AG42">
        <v>2190</v>
      </c>
      <c r="AH42">
        <v>2340</v>
      </c>
      <c r="AI42">
        <v>3190</v>
      </c>
      <c r="AJ42">
        <v>2490</v>
      </c>
      <c r="AK42">
        <v>3340</v>
      </c>
      <c r="AL42">
        <v>4190</v>
      </c>
      <c r="AM42">
        <v>3640</v>
      </c>
      <c r="AN42">
        <v>3790</v>
      </c>
      <c r="AO42">
        <v>4640</v>
      </c>
      <c r="AP42">
        <v>3940</v>
      </c>
      <c r="AQ42">
        <v>4790</v>
      </c>
      <c r="AR42">
        <v>5640</v>
      </c>
      <c r="AS42">
        <v>2440</v>
      </c>
      <c r="AT42">
        <v>2590</v>
      </c>
      <c r="AU42">
        <v>3440</v>
      </c>
      <c r="AV42">
        <v>2740</v>
      </c>
      <c r="AW42">
        <v>3590</v>
      </c>
      <c r="AX42">
        <v>4440</v>
      </c>
      <c r="AY42">
        <v>2890</v>
      </c>
      <c r="AZ42">
        <v>3740</v>
      </c>
      <c r="BA42">
        <v>4590</v>
      </c>
      <c r="BB42">
        <v>5440</v>
      </c>
      <c r="BC42">
        <v>2790</v>
      </c>
      <c r="BD42">
        <v>2940</v>
      </c>
      <c r="BE42">
        <v>3790</v>
      </c>
      <c r="BF42">
        <v>3090</v>
      </c>
      <c r="BG42">
        <v>3940</v>
      </c>
      <c r="BH42">
        <v>4790</v>
      </c>
      <c r="BI42">
        <v>4240</v>
      </c>
      <c r="BJ42">
        <v>4390</v>
      </c>
      <c r="BK42">
        <v>5240</v>
      </c>
      <c r="BL42">
        <v>4540</v>
      </c>
      <c r="BM42">
        <v>5390</v>
      </c>
      <c r="BN42">
        <v>6240</v>
      </c>
      <c r="BO42">
        <v>3040</v>
      </c>
      <c r="BP42">
        <v>3190</v>
      </c>
      <c r="BQ42">
        <v>4040</v>
      </c>
      <c r="BR42">
        <v>3340</v>
      </c>
      <c r="BS42">
        <v>4190</v>
      </c>
      <c r="BT42">
        <v>5040</v>
      </c>
      <c r="BU42">
        <v>3490</v>
      </c>
      <c r="BV42">
        <v>4340</v>
      </c>
      <c r="BW42">
        <v>5190</v>
      </c>
      <c r="BX42">
        <v>6040</v>
      </c>
      <c r="BY42">
        <v>3390</v>
      </c>
      <c r="BZ42">
        <v>3540</v>
      </c>
      <c r="CA42">
        <v>4390</v>
      </c>
      <c r="CB42">
        <v>3690</v>
      </c>
      <c r="CC42">
        <v>4540</v>
      </c>
      <c r="CD42">
        <v>5390</v>
      </c>
      <c r="CE42">
        <v>4840</v>
      </c>
      <c r="CF42">
        <v>4990</v>
      </c>
      <c r="CG42">
        <v>5840</v>
      </c>
      <c r="CH42">
        <v>5140</v>
      </c>
      <c r="CI42">
        <v>5990</v>
      </c>
      <c r="CJ42">
        <v>6840</v>
      </c>
    </row>
    <row r="43" spans="1:88" x14ac:dyDescent="0.35">
      <c r="A43">
        <v>990</v>
      </c>
      <c r="B43">
        <v>1140</v>
      </c>
      <c r="C43">
        <v>1990</v>
      </c>
      <c r="D43">
        <v>1290</v>
      </c>
      <c r="E43">
        <v>2140</v>
      </c>
      <c r="F43">
        <v>2990</v>
      </c>
      <c r="G43">
        <v>1440</v>
      </c>
      <c r="H43">
        <v>2290</v>
      </c>
      <c r="I43">
        <v>3140</v>
      </c>
      <c r="J43">
        <v>3990</v>
      </c>
      <c r="K43">
        <v>1340</v>
      </c>
      <c r="L43">
        <v>1490</v>
      </c>
      <c r="M43">
        <v>2340</v>
      </c>
      <c r="N43">
        <v>1640</v>
      </c>
      <c r="O43">
        <v>2490</v>
      </c>
      <c r="P43">
        <v>3340</v>
      </c>
      <c r="Q43">
        <v>2790</v>
      </c>
      <c r="R43">
        <v>2940</v>
      </c>
      <c r="S43">
        <v>3790</v>
      </c>
      <c r="T43">
        <v>3090</v>
      </c>
      <c r="U43">
        <v>3940</v>
      </c>
      <c r="V43">
        <v>4790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</row>
    <row r="44" spans="1:88" x14ac:dyDescent="0.35">
      <c r="A44">
        <v>1080</v>
      </c>
      <c r="B44">
        <v>1230</v>
      </c>
      <c r="C44">
        <v>2080</v>
      </c>
      <c r="D44">
        <v>1380</v>
      </c>
      <c r="E44">
        <v>2230</v>
      </c>
      <c r="F44">
        <v>3080</v>
      </c>
      <c r="G44">
        <v>1530</v>
      </c>
      <c r="H44">
        <v>2380</v>
      </c>
      <c r="I44">
        <v>3230</v>
      </c>
      <c r="J44">
        <v>4080</v>
      </c>
      <c r="K44">
        <v>1430</v>
      </c>
      <c r="L44">
        <v>1580</v>
      </c>
      <c r="M44">
        <v>2430</v>
      </c>
      <c r="N44">
        <v>1730</v>
      </c>
      <c r="O44">
        <v>2580</v>
      </c>
      <c r="P44">
        <v>3430</v>
      </c>
      <c r="Q44">
        <v>2880</v>
      </c>
      <c r="R44">
        <v>3030</v>
      </c>
      <c r="S44">
        <v>3880</v>
      </c>
      <c r="T44">
        <v>3180</v>
      </c>
      <c r="U44">
        <v>4030</v>
      </c>
      <c r="V44">
        <v>4880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</row>
    <row r="45" spans="1:88" x14ac:dyDescent="0.35">
      <c r="A45">
        <v>1440</v>
      </c>
      <c r="B45">
        <v>1590</v>
      </c>
      <c r="C45">
        <v>2440</v>
      </c>
      <c r="D45">
        <v>1740</v>
      </c>
      <c r="E45">
        <v>2590</v>
      </c>
      <c r="F45">
        <v>3440</v>
      </c>
      <c r="G45">
        <v>1890</v>
      </c>
      <c r="H45">
        <v>2740</v>
      </c>
      <c r="I45">
        <v>3590</v>
      </c>
      <c r="J45">
        <v>4440</v>
      </c>
      <c r="K45">
        <v>1790</v>
      </c>
      <c r="L45">
        <v>1940</v>
      </c>
      <c r="M45">
        <v>2790</v>
      </c>
      <c r="N45">
        <v>2090</v>
      </c>
      <c r="O45">
        <v>2940</v>
      </c>
      <c r="P45">
        <v>3790</v>
      </c>
      <c r="Q45">
        <v>3240</v>
      </c>
      <c r="R45">
        <v>3390</v>
      </c>
      <c r="S45">
        <v>4240</v>
      </c>
      <c r="T45">
        <v>3540</v>
      </c>
      <c r="U45">
        <v>4390</v>
      </c>
      <c r="V45">
        <v>5240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</row>
    <row r="46" spans="1:88" x14ac:dyDescent="0.35">
      <c r="A46">
        <v>1440</v>
      </c>
      <c r="B46">
        <v>1590</v>
      </c>
      <c r="C46">
        <v>2440</v>
      </c>
      <c r="D46">
        <v>1740</v>
      </c>
      <c r="E46">
        <v>2590</v>
      </c>
      <c r="F46">
        <v>3440</v>
      </c>
      <c r="G46">
        <v>1890</v>
      </c>
      <c r="H46">
        <v>2740</v>
      </c>
      <c r="I46">
        <v>3590</v>
      </c>
      <c r="J46">
        <v>4440</v>
      </c>
      <c r="K46">
        <v>1790</v>
      </c>
      <c r="L46">
        <v>1940</v>
      </c>
      <c r="M46">
        <v>2790</v>
      </c>
      <c r="N46">
        <v>2090</v>
      </c>
      <c r="O46">
        <v>2940</v>
      </c>
      <c r="P46">
        <v>3790</v>
      </c>
      <c r="Q46">
        <v>3240</v>
      </c>
      <c r="R46">
        <v>3390</v>
      </c>
      <c r="S46">
        <v>4240</v>
      </c>
      <c r="T46">
        <v>3540</v>
      </c>
      <c r="U46">
        <v>4390</v>
      </c>
      <c r="V46">
        <v>5240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</row>
    <row r="47" spans="1:88" x14ac:dyDescent="0.35">
      <c r="A47">
        <v>990</v>
      </c>
      <c r="B47">
        <v>1140</v>
      </c>
      <c r="C47">
        <v>1990</v>
      </c>
      <c r="D47">
        <v>1290</v>
      </c>
      <c r="E47">
        <v>2140</v>
      </c>
      <c r="F47">
        <v>2990</v>
      </c>
      <c r="G47">
        <v>1440</v>
      </c>
      <c r="H47">
        <v>2290</v>
      </c>
      <c r="I47">
        <v>3140</v>
      </c>
      <c r="J47">
        <v>3990</v>
      </c>
      <c r="K47">
        <v>1340</v>
      </c>
      <c r="L47">
        <v>1490</v>
      </c>
      <c r="M47">
        <v>2340</v>
      </c>
      <c r="N47">
        <v>1640</v>
      </c>
      <c r="O47">
        <v>2490</v>
      </c>
      <c r="P47">
        <v>3340</v>
      </c>
      <c r="Q47">
        <v>2790</v>
      </c>
      <c r="R47">
        <v>2940</v>
      </c>
      <c r="S47">
        <v>3790</v>
      </c>
      <c r="T47">
        <v>3090</v>
      </c>
      <c r="U47">
        <v>3940</v>
      </c>
      <c r="V47">
        <v>4790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</row>
    <row r="48" spans="1:88" x14ac:dyDescent="0.35">
      <c r="A48">
        <v>1260</v>
      </c>
      <c r="B48">
        <v>1410</v>
      </c>
      <c r="C48">
        <v>2260</v>
      </c>
      <c r="D48">
        <v>1560</v>
      </c>
      <c r="E48">
        <v>2410</v>
      </c>
      <c r="F48">
        <v>3260</v>
      </c>
      <c r="G48">
        <v>1710</v>
      </c>
      <c r="H48">
        <v>2560</v>
      </c>
      <c r="I48">
        <v>3410</v>
      </c>
      <c r="J48">
        <v>4260</v>
      </c>
      <c r="K48">
        <v>1610</v>
      </c>
      <c r="L48">
        <v>1760</v>
      </c>
      <c r="M48">
        <v>2610</v>
      </c>
      <c r="N48">
        <v>1910</v>
      </c>
      <c r="O48">
        <v>2760</v>
      </c>
      <c r="P48">
        <v>3610</v>
      </c>
      <c r="Q48">
        <v>3060</v>
      </c>
      <c r="R48">
        <v>3210</v>
      </c>
      <c r="S48">
        <v>4060</v>
      </c>
      <c r="T48">
        <v>3360</v>
      </c>
      <c r="U48">
        <v>4210</v>
      </c>
      <c r="V48">
        <v>5060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</row>
    <row r="49" spans="1:88" x14ac:dyDescent="0.35">
      <c r="A49">
        <v>1080</v>
      </c>
      <c r="B49">
        <v>1230</v>
      </c>
      <c r="C49">
        <v>2080</v>
      </c>
      <c r="D49">
        <v>1380</v>
      </c>
      <c r="E49">
        <v>2230</v>
      </c>
      <c r="F49">
        <v>3080</v>
      </c>
      <c r="G49">
        <v>1530</v>
      </c>
      <c r="H49">
        <v>2380</v>
      </c>
      <c r="I49">
        <v>3230</v>
      </c>
      <c r="J49">
        <v>4080</v>
      </c>
      <c r="K49">
        <v>1430</v>
      </c>
      <c r="L49">
        <v>1580</v>
      </c>
      <c r="M49">
        <v>2430</v>
      </c>
      <c r="N49">
        <v>1730</v>
      </c>
      <c r="O49">
        <v>2580</v>
      </c>
      <c r="P49">
        <v>3430</v>
      </c>
      <c r="Q49">
        <v>2880</v>
      </c>
      <c r="R49">
        <v>3030</v>
      </c>
      <c r="S49">
        <v>3880</v>
      </c>
      <c r="T49">
        <v>3180</v>
      </c>
      <c r="U49">
        <v>4030</v>
      </c>
      <c r="V49">
        <v>4880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</row>
    <row r="50" spans="1:88" x14ac:dyDescent="0.35">
      <c r="A50">
        <v>900</v>
      </c>
      <c r="B50">
        <v>1050</v>
      </c>
      <c r="C50">
        <v>1900</v>
      </c>
      <c r="D50">
        <v>1200</v>
      </c>
      <c r="E50">
        <v>2050</v>
      </c>
      <c r="F50">
        <v>2900</v>
      </c>
      <c r="G50">
        <v>1350</v>
      </c>
      <c r="H50">
        <v>2200</v>
      </c>
      <c r="I50">
        <v>3050</v>
      </c>
      <c r="J50">
        <v>3900</v>
      </c>
      <c r="K50">
        <v>1250</v>
      </c>
      <c r="L50">
        <v>1400</v>
      </c>
      <c r="M50">
        <v>2250</v>
      </c>
      <c r="N50">
        <v>1550</v>
      </c>
      <c r="O50">
        <v>2400</v>
      </c>
      <c r="P50">
        <v>3250</v>
      </c>
      <c r="Q50">
        <v>2700</v>
      </c>
      <c r="R50">
        <v>2850</v>
      </c>
      <c r="S50">
        <v>3700</v>
      </c>
      <c r="T50">
        <v>3000</v>
      </c>
      <c r="U50">
        <v>3850</v>
      </c>
      <c r="V50">
        <v>4700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</row>
    <row r="51" spans="1:88" x14ac:dyDescent="0.35">
      <c r="A51">
        <v>1260</v>
      </c>
      <c r="B51">
        <v>1410</v>
      </c>
      <c r="C51">
        <v>2260</v>
      </c>
      <c r="D51">
        <v>1560</v>
      </c>
      <c r="E51">
        <v>2410</v>
      </c>
      <c r="F51">
        <v>3260</v>
      </c>
      <c r="G51">
        <v>1710</v>
      </c>
      <c r="H51">
        <v>2560</v>
      </c>
      <c r="I51">
        <v>3410</v>
      </c>
      <c r="J51">
        <v>4260</v>
      </c>
      <c r="K51">
        <v>1610</v>
      </c>
      <c r="L51">
        <v>1760</v>
      </c>
      <c r="M51">
        <v>2610</v>
      </c>
      <c r="N51">
        <v>1910</v>
      </c>
      <c r="O51">
        <v>2760</v>
      </c>
      <c r="P51">
        <v>3610</v>
      </c>
      <c r="Q51">
        <v>3060</v>
      </c>
      <c r="R51">
        <v>3210</v>
      </c>
      <c r="S51">
        <v>4060</v>
      </c>
      <c r="T51">
        <v>3360</v>
      </c>
      <c r="U51">
        <v>4210</v>
      </c>
      <c r="V51">
        <v>5060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</row>
    <row r="52" spans="1:88" x14ac:dyDescent="0.35">
      <c r="A52">
        <v>1800</v>
      </c>
      <c r="B52">
        <v>1950</v>
      </c>
      <c r="C52">
        <v>2800</v>
      </c>
      <c r="D52">
        <v>2100</v>
      </c>
      <c r="E52">
        <v>2950</v>
      </c>
      <c r="F52">
        <v>3800</v>
      </c>
      <c r="G52">
        <v>2250</v>
      </c>
      <c r="H52">
        <v>3100</v>
      </c>
      <c r="I52">
        <v>3950</v>
      </c>
      <c r="J52">
        <v>4800</v>
      </c>
      <c r="K52">
        <v>2150</v>
      </c>
      <c r="L52">
        <v>2300</v>
      </c>
      <c r="M52">
        <v>3150</v>
      </c>
      <c r="N52">
        <v>2450</v>
      </c>
      <c r="O52">
        <v>3300</v>
      </c>
      <c r="P52">
        <v>4150</v>
      </c>
      <c r="Q52">
        <v>3600</v>
      </c>
      <c r="R52">
        <v>3750</v>
      </c>
      <c r="S52">
        <v>4600</v>
      </c>
      <c r="T52">
        <v>3900</v>
      </c>
      <c r="U52">
        <v>4750</v>
      </c>
      <c r="V52">
        <v>5600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</row>
    <row r="53" spans="1:88" x14ac:dyDescent="0.35">
      <c r="A53">
        <v>1170</v>
      </c>
      <c r="B53">
        <v>1320</v>
      </c>
      <c r="C53">
        <v>2170</v>
      </c>
      <c r="D53">
        <v>1470</v>
      </c>
      <c r="E53">
        <v>2320</v>
      </c>
      <c r="F53">
        <v>3170</v>
      </c>
      <c r="G53">
        <v>1620</v>
      </c>
      <c r="H53">
        <v>2470</v>
      </c>
      <c r="I53">
        <v>3320</v>
      </c>
      <c r="J53">
        <v>4170</v>
      </c>
      <c r="K53">
        <v>1520</v>
      </c>
      <c r="L53">
        <v>1670</v>
      </c>
      <c r="M53">
        <v>2520</v>
      </c>
      <c r="N53">
        <v>1820</v>
      </c>
      <c r="O53">
        <v>2670</v>
      </c>
      <c r="P53">
        <v>3520</v>
      </c>
      <c r="Q53">
        <v>2970</v>
      </c>
      <c r="R53">
        <v>3120</v>
      </c>
      <c r="S53">
        <v>3970</v>
      </c>
      <c r="T53">
        <v>3270</v>
      </c>
      <c r="U53">
        <v>4120</v>
      </c>
      <c r="V53">
        <v>4970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</row>
    <row r="54" spans="1:88" x14ac:dyDescent="0.35">
      <c r="A54">
        <v>1800</v>
      </c>
      <c r="B54">
        <v>1950</v>
      </c>
      <c r="C54">
        <v>2800</v>
      </c>
      <c r="D54">
        <v>2100</v>
      </c>
      <c r="E54">
        <v>2950</v>
      </c>
      <c r="F54">
        <v>3800</v>
      </c>
      <c r="G54">
        <v>2250</v>
      </c>
      <c r="H54">
        <v>3100</v>
      </c>
      <c r="I54">
        <v>3950</v>
      </c>
      <c r="J54">
        <v>4800</v>
      </c>
      <c r="K54">
        <v>2150</v>
      </c>
      <c r="L54">
        <v>2300</v>
      </c>
      <c r="M54">
        <v>3150</v>
      </c>
      <c r="N54">
        <v>2450</v>
      </c>
      <c r="O54">
        <v>3300</v>
      </c>
      <c r="P54">
        <v>4150</v>
      </c>
      <c r="Q54">
        <v>3600</v>
      </c>
      <c r="R54">
        <v>3750</v>
      </c>
      <c r="S54">
        <v>4600</v>
      </c>
      <c r="T54">
        <v>3900</v>
      </c>
      <c r="U54">
        <v>4750</v>
      </c>
      <c r="V54">
        <v>5600</v>
      </c>
      <c r="W54">
        <v>2200</v>
      </c>
      <c r="X54">
        <v>2350</v>
      </c>
      <c r="Y54">
        <v>3200</v>
      </c>
      <c r="Z54">
        <v>2500</v>
      </c>
      <c r="AA54">
        <v>3350</v>
      </c>
      <c r="AB54">
        <v>4200</v>
      </c>
      <c r="AC54">
        <v>2650</v>
      </c>
      <c r="AD54">
        <v>3500</v>
      </c>
      <c r="AE54">
        <v>4350</v>
      </c>
      <c r="AF54">
        <v>5200</v>
      </c>
      <c r="AG54">
        <v>2550</v>
      </c>
      <c r="AH54">
        <v>2700</v>
      </c>
      <c r="AI54">
        <v>3550</v>
      </c>
      <c r="AJ54">
        <v>2850</v>
      </c>
      <c r="AK54">
        <v>3700</v>
      </c>
      <c r="AL54">
        <v>4550</v>
      </c>
      <c r="AM54">
        <v>4000</v>
      </c>
      <c r="AN54">
        <v>4150</v>
      </c>
      <c r="AO54">
        <v>5000</v>
      </c>
      <c r="AP54">
        <v>4300</v>
      </c>
      <c r="AQ54">
        <v>5150</v>
      </c>
      <c r="AR54">
        <v>6000</v>
      </c>
      <c r="AS54">
        <v>2800</v>
      </c>
      <c r="AT54">
        <v>2950</v>
      </c>
      <c r="AU54">
        <v>3800</v>
      </c>
      <c r="AV54">
        <v>3100</v>
      </c>
      <c r="AW54">
        <v>3950</v>
      </c>
      <c r="AX54">
        <v>4800</v>
      </c>
      <c r="AY54">
        <v>3250</v>
      </c>
      <c r="AZ54">
        <v>4100</v>
      </c>
      <c r="BA54">
        <v>4950</v>
      </c>
      <c r="BB54">
        <v>5800</v>
      </c>
      <c r="BC54">
        <v>3150</v>
      </c>
      <c r="BD54">
        <v>3300</v>
      </c>
      <c r="BE54">
        <v>4150</v>
      </c>
      <c r="BF54">
        <v>3450</v>
      </c>
      <c r="BG54">
        <v>4300</v>
      </c>
      <c r="BH54">
        <v>5150</v>
      </c>
      <c r="BI54">
        <v>4600</v>
      </c>
      <c r="BJ54">
        <v>4750</v>
      </c>
      <c r="BK54">
        <v>5600</v>
      </c>
      <c r="BL54">
        <v>4900</v>
      </c>
      <c r="BM54">
        <v>5750</v>
      </c>
      <c r="BN54">
        <v>6600</v>
      </c>
      <c r="BO54">
        <v>3400</v>
      </c>
      <c r="BP54">
        <v>3550</v>
      </c>
      <c r="BQ54">
        <v>4400</v>
      </c>
      <c r="BR54">
        <v>3700</v>
      </c>
      <c r="BS54">
        <v>4550</v>
      </c>
      <c r="BT54">
        <v>5400</v>
      </c>
      <c r="BU54">
        <v>3850</v>
      </c>
      <c r="BV54">
        <v>4700</v>
      </c>
      <c r="BW54">
        <v>5550</v>
      </c>
      <c r="BX54">
        <v>6400</v>
      </c>
      <c r="BY54">
        <v>3750</v>
      </c>
      <c r="BZ54">
        <v>3900</v>
      </c>
      <c r="CA54">
        <v>4750</v>
      </c>
      <c r="CB54">
        <v>4050</v>
      </c>
      <c r="CC54">
        <v>4900</v>
      </c>
      <c r="CD54">
        <v>5750</v>
      </c>
      <c r="CE54">
        <v>5200</v>
      </c>
      <c r="CF54">
        <v>5350</v>
      </c>
      <c r="CG54">
        <v>6200</v>
      </c>
      <c r="CH54">
        <v>5500</v>
      </c>
      <c r="CI54">
        <v>6350</v>
      </c>
      <c r="CJ54">
        <v>7200</v>
      </c>
    </row>
    <row r="55" spans="1:88" x14ac:dyDescent="0.35">
      <c r="A55">
        <v>1440</v>
      </c>
      <c r="B55">
        <v>1590</v>
      </c>
      <c r="C55">
        <v>2440</v>
      </c>
      <c r="D55">
        <v>1740</v>
      </c>
      <c r="E55">
        <v>2590</v>
      </c>
      <c r="F55">
        <v>3440</v>
      </c>
      <c r="G55">
        <v>1890</v>
      </c>
      <c r="H55">
        <v>2740</v>
      </c>
      <c r="I55">
        <v>3590</v>
      </c>
      <c r="J55">
        <v>4440</v>
      </c>
      <c r="K55">
        <v>1790</v>
      </c>
      <c r="L55">
        <v>1940</v>
      </c>
      <c r="M55">
        <v>2790</v>
      </c>
      <c r="N55">
        <v>2090</v>
      </c>
      <c r="O55">
        <v>2940</v>
      </c>
      <c r="P55">
        <v>3790</v>
      </c>
      <c r="Q55">
        <v>3240</v>
      </c>
      <c r="R55">
        <v>3390</v>
      </c>
      <c r="S55">
        <v>4240</v>
      </c>
      <c r="T55">
        <v>3540</v>
      </c>
      <c r="U55">
        <v>4390</v>
      </c>
      <c r="V55">
        <v>5240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</row>
    <row r="56" spans="1:88" x14ac:dyDescent="0.35">
      <c r="A56">
        <v>810</v>
      </c>
      <c r="B56">
        <v>960</v>
      </c>
      <c r="C56">
        <v>1810</v>
      </c>
      <c r="D56">
        <v>1110</v>
      </c>
      <c r="E56">
        <v>1960</v>
      </c>
      <c r="F56">
        <v>2810</v>
      </c>
      <c r="G56">
        <v>1260</v>
      </c>
      <c r="H56">
        <v>2110</v>
      </c>
      <c r="I56">
        <v>2960</v>
      </c>
      <c r="J56">
        <v>3810</v>
      </c>
      <c r="K56">
        <v>1160</v>
      </c>
      <c r="L56">
        <v>1310</v>
      </c>
      <c r="M56">
        <v>2160</v>
      </c>
      <c r="N56">
        <v>1460</v>
      </c>
      <c r="O56">
        <v>2310</v>
      </c>
      <c r="P56">
        <v>3160</v>
      </c>
      <c r="Q56">
        <v>2610</v>
      </c>
      <c r="R56">
        <v>2760</v>
      </c>
      <c r="S56">
        <v>3610</v>
      </c>
      <c r="T56">
        <v>2910</v>
      </c>
      <c r="U56">
        <v>3760</v>
      </c>
      <c r="V56">
        <v>4610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</row>
    <row r="57" spans="1:88" x14ac:dyDescent="0.35">
      <c r="A57">
        <v>1080</v>
      </c>
      <c r="B57">
        <v>1230</v>
      </c>
      <c r="C57">
        <v>2080</v>
      </c>
      <c r="D57">
        <v>1380</v>
      </c>
      <c r="E57">
        <v>2230</v>
      </c>
      <c r="F57">
        <v>3080</v>
      </c>
      <c r="G57">
        <v>1530</v>
      </c>
      <c r="H57">
        <v>2380</v>
      </c>
      <c r="I57">
        <v>3230</v>
      </c>
      <c r="J57">
        <v>4080</v>
      </c>
      <c r="K57">
        <v>1430</v>
      </c>
      <c r="L57">
        <v>1580</v>
      </c>
      <c r="M57">
        <v>2430</v>
      </c>
      <c r="N57">
        <v>1730</v>
      </c>
      <c r="O57">
        <v>2580</v>
      </c>
      <c r="P57">
        <v>3430</v>
      </c>
      <c r="Q57">
        <v>2880</v>
      </c>
      <c r="R57">
        <v>3030</v>
      </c>
      <c r="S57">
        <v>3880</v>
      </c>
      <c r="T57">
        <v>3180</v>
      </c>
      <c r="U57">
        <v>4030</v>
      </c>
      <c r="V57">
        <v>4880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89860-F12E-4E2A-AB4F-52A8C87932DD}">
  <sheetPr codeName="Sheet12"/>
  <dimension ref="A1:E1"/>
  <sheetViews>
    <sheetView workbookViewId="0">
      <selection activeCell="G9" sqref="G9"/>
    </sheetView>
  </sheetViews>
  <sheetFormatPr defaultRowHeight="14.5" x14ac:dyDescent="0.35"/>
  <sheetData>
    <row r="1" spans="1:5" x14ac:dyDescent="0.35">
      <c r="A1">
        <v>9</v>
      </c>
      <c r="B1">
        <v>42</v>
      </c>
      <c r="C1">
        <v>48</v>
      </c>
      <c r="D1">
        <v>20</v>
      </c>
      <c r="E1">
        <v>51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32369-168A-4F27-8289-265C73F40D55}">
  <sheetPr codeName="Sheet18"/>
  <dimension ref="A1:A3"/>
  <sheetViews>
    <sheetView workbookViewId="0">
      <selection activeCell="F30" sqref="F30"/>
    </sheetView>
  </sheetViews>
  <sheetFormatPr defaultRowHeight="14.5" x14ac:dyDescent="0.35"/>
  <sheetData>
    <row r="1" spans="1:1" x14ac:dyDescent="0.35">
      <c r="A1">
        <v>0</v>
      </c>
    </row>
    <row r="2" spans="1:1" x14ac:dyDescent="0.35">
      <c r="A2">
        <v>0</v>
      </c>
    </row>
    <row r="3" spans="1:1" x14ac:dyDescent="0.35">
      <c r="A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F10A5-9D1F-46FE-B875-D390B1BA71AA}">
  <sheetPr codeName="Sheet13"/>
  <dimension ref="BC1:BC3"/>
  <sheetViews>
    <sheetView zoomScaleNormal="100" workbookViewId="0">
      <selection activeCell="O17" sqref="O17"/>
    </sheetView>
  </sheetViews>
  <sheetFormatPr defaultRowHeight="14.5" x14ac:dyDescent="0.35"/>
  <cols>
    <col min="1" max="78" width="3.81640625" customWidth="1"/>
  </cols>
  <sheetData>
    <row r="1" spans="55:55" x14ac:dyDescent="0.35">
      <c r="BC1" t="s">
        <v>308</v>
      </c>
    </row>
    <row r="2" spans="55:55" x14ac:dyDescent="0.35">
      <c r="BC2" t="s">
        <v>306</v>
      </c>
    </row>
    <row r="3" spans="55:55" x14ac:dyDescent="0.35">
      <c r="BC3" t="s">
        <v>307</v>
      </c>
    </row>
  </sheetData>
  <conditionalFormatting sqref="AI1:AJ2 BC1:BC3">
    <cfRule type="expression" dxfId="0" priority="1">
      <formula>IF(ISBLANK($AJ$1),0,1)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560" r:id="rId3" name="p7">
          <controlPr defaultSize="0" autoLine="0" r:id="rId4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49</xdr:col>
                <xdr:colOff>234950</xdr:colOff>
                <xdr:row>22</xdr:row>
                <xdr:rowOff>177800</xdr:rowOff>
              </to>
            </anchor>
          </controlPr>
        </control>
      </mc:Choice>
      <mc:Fallback>
        <control shapeId="19560" r:id="rId3" name="p7"/>
      </mc:Fallback>
    </mc:AlternateContent>
    <mc:AlternateContent xmlns:mc="http://schemas.openxmlformats.org/markup-compatibility/2006">
      <mc:Choice Requires="x14">
        <control shapeId="19559" r:id="rId5" name="p6">
          <controlPr defaultSize="0" autoLine="0" r:id="rId4">
            <anchor moveWithCells="1">
              <from>
                <xdr:col>42</xdr:col>
                <xdr:colOff>0</xdr:colOff>
                <xdr:row>18</xdr:row>
                <xdr:rowOff>0</xdr:rowOff>
              </from>
              <to>
                <xdr:col>45</xdr:col>
                <xdr:colOff>234950</xdr:colOff>
                <xdr:row>22</xdr:row>
                <xdr:rowOff>177800</xdr:rowOff>
              </to>
            </anchor>
          </controlPr>
        </control>
      </mc:Choice>
      <mc:Fallback>
        <control shapeId="19559" r:id="rId5" name="p6"/>
      </mc:Fallback>
    </mc:AlternateContent>
    <mc:AlternateContent xmlns:mc="http://schemas.openxmlformats.org/markup-compatibility/2006">
      <mc:Choice Requires="x14">
        <control shapeId="19558" r:id="rId6" name="p5">
          <controlPr defaultSize="0" autoLine="0" r:id="rId4">
            <anchor moveWithCells="1">
              <from>
                <xdr:col>38</xdr:col>
                <xdr:colOff>0</xdr:colOff>
                <xdr:row>18</xdr:row>
                <xdr:rowOff>0</xdr:rowOff>
              </from>
              <to>
                <xdr:col>41</xdr:col>
                <xdr:colOff>234950</xdr:colOff>
                <xdr:row>22</xdr:row>
                <xdr:rowOff>177800</xdr:rowOff>
              </to>
            </anchor>
          </controlPr>
        </control>
      </mc:Choice>
      <mc:Fallback>
        <control shapeId="19558" r:id="rId6" name="p5"/>
      </mc:Fallback>
    </mc:AlternateContent>
    <mc:AlternateContent xmlns:mc="http://schemas.openxmlformats.org/markup-compatibility/2006">
      <mc:Choice Requires="x14">
        <control shapeId="19557" r:id="rId7" name="p4">
          <controlPr defaultSize="0" autoLine="0" r:id="rId8">
            <anchor moveWithCells="1">
              <from>
                <xdr:col>34</xdr:col>
                <xdr:colOff>0</xdr:colOff>
                <xdr:row>18</xdr:row>
                <xdr:rowOff>0</xdr:rowOff>
              </from>
              <to>
                <xdr:col>37</xdr:col>
                <xdr:colOff>234950</xdr:colOff>
                <xdr:row>22</xdr:row>
                <xdr:rowOff>177800</xdr:rowOff>
              </to>
            </anchor>
          </controlPr>
        </control>
      </mc:Choice>
      <mc:Fallback>
        <control shapeId="19557" r:id="rId7" name="p4"/>
      </mc:Fallback>
    </mc:AlternateContent>
    <mc:AlternateContent xmlns:mc="http://schemas.openxmlformats.org/markup-compatibility/2006">
      <mc:Choice Requires="x14">
        <control shapeId="19556" r:id="rId9" name="p3">
          <controlPr defaultSize="0" autoLine="0" r:id="rId4">
            <anchor moveWithCells="1">
              <from>
                <xdr:col>30</xdr:col>
                <xdr:colOff>0</xdr:colOff>
                <xdr:row>18</xdr:row>
                <xdr:rowOff>0</xdr:rowOff>
              </from>
              <to>
                <xdr:col>33</xdr:col>
                <xdr:colOff>234950</xdr:colOff>
                <xdr:row>22</xdr:row>
                <xdr:rowOff>177800</xdr:rowOff>
              </to>
            </anchor>
          </controlPr>
        </control>
      </mc:Choice>
      <mc:Fallback>
        <control shapeId="19556" r:id="rId9" name="p3"/>
      </mc:Fallback>
    </mc:AlternateContent>
    <mc:AlternateContent xmlns:mc="http://schemas.openxmlformats.org/markup-compatibility/2006">
      <mc:Choice Requires="x14">
        <control shapeId="19555" r:id="rId10" name="p2">
          <controlPr defaultSize="0" autoLine="0" r:id="rId4">
            <anchor moveWithCells="1">
              <from>
                <xdr:col>26</xdr:col>
                <xdr:colOff>0</xdr:colOff>
                <xdr:row>18</xdr:row>
                <xdr:rowOff>0</xdr:rowOff>
              </from>
              <to>
                <xdr:col>29</xdr:col>
                <xdr:colOff>234950</xdr:colOff>
                <xdr:row>22</xdr:row>
                <xdr:rowOff>177800</xdr:rowOff>
              </to>
            </anchor>
          </controlPr>
        </control>
      </mc:Choice>
      <mc:Fallback>
        <control shapeId="19555" r:id="rId10" name="p2"/>
      </mc:Fallback>
    </mc:AlternateContent>
    <mc:AlternateContent xmlns:mc="http://schemas.openxmlformats.org/markup-compatibility/2006">
      <mc:Choice Requires="x14">
        <control shapeId="19554" r:id="rId11" name="p1">
          <controlPr defaultSize="0" autoLine="0" r:id="rId12">
            <anchor moveWithCells="1">
              <from>
                <xdr:col>22</xdr:col>
                <xdr:colOff>0</xdr:colOff>
                <xdr:row>18</xdr:row>
                <xdr:rowOff>0</xdr:rowOff>
              </from>
              <to>
                <xdr:col>25</xdr:col>
                <xdr:colOff>234950</xdr:colOff>
                <xdr:row>22</xdr:row>
                <xdr:rowOff>177800</xdr:rowOff>
              </to>
            </anchor>
          </controlPr>
        </control>
      </mc:Choice>
      <mc:Fallback>
        <control shapeId="19554" r:id="rId11" name="p1"/>
      </mc:Fallback>
    </mc:AlternateContent>
    <mc:AlternateContent xmlns:mc="http://schemas.openxmlformats.org/markup-compatibility/2006">
      <mc:Choice Requires="x14">
        <control shapeId="19553" r:id="rId13" name="refresh">
          <controlPr defaultSize="0" autoLine="0" autoPict="0" r:id="rId14">
            <anchor moveWithCells="1">
              <from>
                <xdr:col>16</xdr:col>
                <xdr:colOff>0</xdr:colOff>
                <xdr:row>35</xdr:row>
                <xdr:rowOff>0</xdr:rowOff>
              </from>
              <to>
                <xdr:col>22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9553" r:id="rId13" name="refresh"/>
      </mc:Fallback>
    </mc:AlternateContent>
    <mc:AlternateContent xmlns:mc="http://schemas.openxmlformats.org/markup-compatibility/2006">
      <mc:Choice Requires="x14">
        <control shapeId="19552" r:id="rId15" name="buyxp">
          <controlPr defaultSize="0" autoLine="0" autoPict="0" r:id="rId16">
            <anchor moveWithCells="1">
              <from>
                <xdr:col>16</xdr:col>
                <xdr:colOff>0</xdr:colOff>
                <xdr:row>32</xdr:row>
                <xdr:rowOff>0</xdr:rowOff>
              </from>
              <to>
                <xdr:col>22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19552" r:id="rId15" name="buyxp"/>
      </mc:Fallback>
    </mc:AlternateContent>
    <mc:AlternateContent xmlns:mc="http://schemas.openxmlformats.org/markup-compatibility/2006">
      <mc:Choice Requires="x14">
        <control shapeId="19550" r:id="rId17" name="c5">
          <controlPr defaultSize="0" autoLine="0" r:id="rId18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51</xdr:col>
                <xdr:colOff>222250</xdr:colOff>
                <xdr:row>37</xdr:row>
                <xdr:rowOff>177800</xdr:rowOff>
              </to>
            </anchor>
          </controlPr>
        </control>
      </mc:Choice>
      <mc:Fallback>
        <control shapeId="19550" r:id="rId17" name="c5"/>
      </mc:Fallback>
    </mc:AlternateContent>
    <mc:AlternateContent xmlns:mc="http://schemas.openxmlformats.org/markup-compatibility/2006">
      <mc:Choice Requires="x14">
        <control shapeId="19549" r:id="rId19" name="c4">
          <controlPr defaultSize="0" autoLine="0" r:id="rId18">
            <anchor moveWithCells="1">
              <from>
                <xdr:col>40</xdr:col>
                <xdr:colOff>0</xdr:colOff>
                <xdr:row>32</xdr:row>
                <xdr:rowOff>0</xdr:rowOff>
              </from>
              <to>
                <xdr:col>45</xdr:col>
                <xdr:colOff>222250</xdr:colOff>
                <xdr:row>37</xdr:row>
                <xdr:rowOff>177800</xdr:rowOff>
              </to>
            </anchor>
          </controlPr>
        </control>
      </mc:Choice>
      <mc:Fallback>
        <control shapeId="19549" r:id="rId19" name="c4"/>
      </mc:Fallback>
    </mc:AlternateContent>
    <mc:AlternateContent xmlns:mc="http://schemas.openxmlformats.org/markup-compatibility/2006">
      <mc:Choice Requires="x14">
        <control shapeId="19548" r:id="rId20" name="c3">
          <controlPr defaultSize="0" autoLine="0" r:id="rId18">
            <anchor moveWithCells="1">
              <from>
                <xdr:col>34</xdr:col>
                <xdr:colOff>0</xdr:colOff>
                <xdr:row>32</xdr:row>
                <xdr:rowOff>0</xdr:rowOff>
              </from>
              <to>
                <xdr:col>39</xdr:col>
                <xdr:colOff>222250</xdr:colOff>
                <xdr:row>37</xdr:row>
                <xdr:rowOff>177800</xdr:rowOff>
              </to>
            </anchor>
          </controlPr>
        </control>
      </mc:Choice>
      <mc:Fallback>
        <control shapeId="19548" r:id="rId20" name="c3"/>
      </mc:Fallback>
    </mc:AlternateContent>
    <mc:AlternateContent xmlns:mc="http://schemas.openxmlformats.org/markup-compatibility/2006">
      <mc:Choice Requires="x14">
        <control shapeId="19547" r:id="rId21" name="c2">
          <controlPr defaultSize="0" autoLine="0" r:id="rId18">
            <anchor moveWithCells="1">
              <from>
                <xdr:col>28</xdr:col>
                <xdr:colOff>0</xdr:colOff>
                <xdr:row>32</xdr:row>
                <xdr:rowOff>0</xdr:rowOff>
              </from>
              <to>
                <xdr:col>33</xdr:col>
                <xdr:colOff>222250</xdr:colOff>
                <xdr:row>37</xdr:row>
                <xdr:rowOff>177800</xdr:rowOff>
              </to>
            </anchor>
          </controlPr>
        </control>
      </mc:Choice>
      <mc:Fallback>
        <control shapeId="19547" r:id="rId21" name="c2"/>
      </mc:Fallback>
    </mc:AlternateContent>
    <mc:AlternateContent xmlns:mc="http://schemas.openxmlformats.org/markup-compatibility/2006">
      <mc:Choice Requires="x14">
        <control shapeId="19546" r:id="rId22" name="c1">
          <controlPr defaultSize="0" autoLine="0" autoPict="0" r:id="rId18">
            <anchor moveWithCells="1">
              <from>
                <xdr:col>22</xdr:col>
                <xdr:colOff>0</xdr:colOff>
                <xdr:row>32</xdr:row>
                <xdr:rowOff>0</xdr:rowOff>
              </from>
              <to>
                <xdr:col>28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9546" r:id="rId22" name="c1"/>
      </mc:Fallback>
    </mc:AlternateContent>
    <mc:AlternateContent xmlns:mc="http://schemas.openxmlformats.org/markup-compatibility/2006">
      <mc:Choice Requires="x14">
        <control shapeId="19545" r:id="rId23" name="p37">
          <controlPr defaultSize="0" autoLine="0" r:id="rId24">
            <anchor moveWithCells="1">
              <from>
                <xdr:col>49</xdr:col>
                <xdr:colOff>0</xdr:colOff>
                <xdr:row>25</xdr:row>
                <xdr:rowOff>0</xdr:rowOff>
              </from>
              <to>
                <xdr:col>52</xdr:col>
                <xdr:colOff>234950</xdr:colOff>
                <xdr:row>29</xdr:row>
                <xdr:rowOff>177800</xdr:rowOff>
              </to>
            </anchor>
          </controlPr>
        </control>
      </mc:Choice>
      <mc:Fallback>
        <control shapeId="19545" r:id="rId23" name="p37"/>
      </mc:Fallback>
    </mc:AlternateContent>
    <mc:AlternateContent xmlns:mc="http://schemas.openxmlformats.org/markup-compatibility/2006">
      <mc:Choice Requires="x14">
        <control shapeId="19544" r:id="rId25" name="p36">
          <controlPr defaultSize="0" autoLine="0" r:id="rId26">
            <anchor moveWithCells="1">
              <from>
                <xdr:col>45</xdr:col>
                <xdr:colOff>0</xdr:colOff>
                <xdr:row>25</xdr:row>
                <xdr:rowOff>0</xdr:rowOff>
              </from>
              <to>
                <xdr:col>48</xdr:col>
                <xdr:colOff>234950</xdr:colOff>
                <xdr:row>29</xdr:row>
                <xdr:rowOff>177800</xdr:rowOff>
              </to>
            </anchor>
          </controlPr>
        </control>
      </mc:Choice>
      <mc:Fallback>
        <control shapeId="19544" r:id="rId25" name="p36"/>
      </mc:Fallback>
    </mc:AlternateContent>
    <mc:AlternateContent xmlns:mc="http://schemas.openxmlformats.org/markup-compatibility/2006">
      <mc:Choice Requires="x14">
        <control shapeId="19543" r:id="rId27" name="p35">
          <controlPr defaultSize="0" autoLine="0" r:id="rId28">
            <anchor moveWithCells="1">
              <from>
                <xdr:col>41</xdr:col>
                <xdr:colOff>0</xdr:colOff>
                <xdr:row>25</xdr:row>
                <xdr:rowOff>0</xdr:rowOff>
              </from>
              <to>
                <xdr:col>44</xdr:col>
                <xdr:colOff>234950</xdr:colOff>
                <xdr:row>29</xdr:row>
                <xdr:rowOff>177800</xdr:rowOff>
              </to>
            </anchor>
          </controlPr>
        </control>
      </mc:Choice>
      <mc:Fallback>
        <control shapeId="19543" r:id="rId27" name="p35"/>
      </mc:Fallback>
    </mc:AlternateContent>
    <mc:AlternateContent xmlns:mc="http://schemas.openxmlformats.org/markup-compatibility/2006">
      <mc:Choice Requires="x14">
        <control shapeId="19542" r:id="rId29" name="p34">
          <controlPr defaultSize="0" autoLine="0" r:id="rId30">
            <anchor moveWithCells="1">
              <from>
                <xdr:col>37</xdr:col>
                <xdr:colOff>0</xdr:colOff>
                <xdr:row>25</xdr:row>
                <xdr:rowOff>0</xdr:rowOff>
              </from>
              <to>
                <xdr:col>40</xdr:col>
                <xdr:colOff>234950</xdr:colOff>
                <xdr:row>29</xdr:row>
                <xdr:rowOff>177800</xdr:rowOff>
              </to>
            </anchor>
          </controlPr>
        </control>
      </mc:Choice>
      <mc:Fallback>
        <control shapeId="19542" r:id="rId29" name="p34"/>
      </mc:Fallback>
    </mc:AlternateContent>
    <mc:AlternateContent xmlns:mc="http://schemas.openxmlformats.org/markup-compatibility/2006">
      <mc:Choice Requires="x14">
        <control shapeId="19539" r:id="rId31" name="p33">
          <controlPr defaultSize="0" autoLine="0" r:id="rId32">
            <anchor moveWithCells="1">
              <from>
                <xdr:col>33</xdr:col>
                <xdr:colOff>0</xdr:colOff>
                <xdr:row>25</xdr:row>
                <xdr:rowOff>0</xdr:rowOff>
              </from>
              <to>
                <xdr:col>36</xdr:col>
                <xdr:colOff>234950</xdr:colOff>
                <xdr:row>29</xdr:row>
                <xdr:rowOff>177800</xdr:rowOff>
              </to>
            </anchor>
          </controlPr>
        </control>
      </mc:Choice>
      <mc:Fallback>
        <control shapeId="19539" r:id="rId31" name="p33"/>
      </mc:Fallback>
    </mc:AlternateContent>
    <mc:AlternateContent xmlns:mc="http://schemas.openxmlformats.org/markup-compatibility/2006">
      <mc:Choice Requires="x14">
        <control shapeId="19538" r:id="rId33" name="p32">
          <controlPr defaultSize="0" autoLine="0" r:id="rId34">
            <anchor moveWithCells="1">
              <from>
                <xdr:col>29</xdr:col>
                <xdr:colOff>0</xdr:colOff>
                <xdr:row>25</xdr:row>
                <xdr:rowOff>0</xdr:rowOff>
              </from>
              <to>
                <xdr:col>32</xdr:col>
                <xdr:colOff>234950</xdr:colOff>
                <xdr:row>29</xdr:row>
                <xdr:rowOff>177800</xdr:rowOff>
              </to>
            </anchor>
          </controlPr>
        </control>
      </mc:Choice>
      <mc:Fallback>
        <control shapeId="19538" r:id="rId33" name="p32"/>
      </mc:Fallback>
    </mc:AlternateContent>
    <mc:AlternateContent xmlns:mc="http://schemas.openxmlformats.org/markup-compatibility/2006">
      <mc:Choice Requires="x14">
        <control shapeId="19537" r:id="rId35" name="p31">
          <controlPr defaultSize="0" autoLine="0" r:id="rId36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28</xdr:col>
                <xdr:colOff>234950</xdr:colOff>
                <xdr:row>29</xdr:row>
                <xdr:rowOff>177800</xdr:rowOff>
              </to>
            </anchor>
          </controlPr>
        </control>
      </mc:Choice>
      <mc:Fallback>
        <control shapeId="19537" r:id="rId35" name="p31"/>
      </mc:Fallback>
    </mc:AlternateContent>
    <mc:AlternateContent xmlns:mc="http://schemas.openxmlformats.org/markup-compatibility/2006">
      <mc:Choice Requires="x14">
        <control shapeId="19536" r:id="rId37" name="p30">
          <controlPr defaultSize="0" autoLine="0" r:id="rId38">
            <anchor moveWithCells="1">
              <from>
                <xdr:col>21</xdr:col>
                <xdr:colOff>0</xdr:colOff>
                <xdr:row>25</xdr:row>
                <xdr:rowOff>0</xdr:rowOff>
              </from>
              <to>
                <xdr:col>24</xdr:col>
                <xdr:colOff>234950</xdr:colOff>
                <xdr:row>29</xdr:row>
                <xdr:rowOff>177800</xdr:rowOff>
              </to>
            </anchor>
          </controlPr>
        </control>
      </mc:Choice>
      <mc:Fallback>
        <control shapeId="19536" r:id="rId37" name="p30"/>
      </mc:Fallback>
    </mc:AlternateContent>
    <mc:AlternateContent xmlns:mc="http://schemas.openxmlformats.org/markup-compatibility/2006">
      <mc:Choice Requires="x14">
        <control shapeId="19535" r:id="rId39" name="p29">
          <controlPr defaultSize="0" autoLine="0" r:id="rId40">
            <anchor moveWithCells="1">
              <from>
                <xdr:col>17</xdr:col>
                <xdr:colOff>0</xdr:colOff>
                <xdr:row>25</xdr:row>
                <xdr:rowOff>0</xdr:rowOff>
              </from>
              <to>
                <xdr:col>20</xdr:col>
                <xdr:colOff>234950</xdr:colOff>
                <xdr:row>29</xdr:row>
                <xdr:rowOff>177800</xdr:rowOff>
              </to>
            </anchor>
          </controlPr>
        </control>
      </mc:Choice>
      <mc:Fallback>
        <control shapeId="19535" r:id="rId39" name="p29"/>
      </mc:Fallback>
    </mc:AlternateContent>
    <mc:AlternateContent xmlns:mc="http://schemas.openxmlformats.org/markup-compatibility/2006">
      <mc:Choice Requires="x14">
        <control shapeId="19532" r:id="rId41" name="p14">
          <controlPr defaultSize="0" autoLine="0" r:id="rId4">
            <anchor moveWithCells="1">
              <from>
                <xdr:col>44</xdr:col>
                <xdr:colOff>0</xdr:colOff>
                <xdr:row>13</xdr:row>
                <xdr:rowOff>0</xdr:rowOff>
              </from>
              <to>
                <xdr:col>47</xdr:col>
                <xdr:colOff>234950</xdr:colOff>
                <xdr:row>17</xdr:row>
                <xdr:rowOff>177800</xdr:rowOff>
              </to>
            </anchor>
          </controlPr>
        </control>
      </mc:Choice>
      <mc:Fallback>
        <control shapeId="19532" r:id="rId41" name="p14"/>
      </mc:Fallback>
    </mc:AlternateContent>
    <mc:AlternateContent xmlns:mc="http://schemas.openxmlformats.org/markup-compatibility/2006">
      <mc:Choice Requires="x14">
        <control shapeId="19531" r:id="rId42" name="p13">
          <controlPr defaultSize="0" autoLine="0" r:id="rId4">
            <anchor moveWithCells="1">
              <from>
                <xdr:col>40</xdr:col>
                <xdr:colOff>0</xdr:colOff>
                <xdr:row>13</xdr:row>
                <xdr:rowOff>0</xdr:rowOff>
              </from>
              <to>
                <xdr:col>43</xdr:col>
                <xdr:colOff>234950</xdr:colOff>
                <xdr:row>17</xdr:row>
                <xdr:rowOff>177800</xdr:rowOff>
              </to>
            </anchor>
          </controlPr>
        </control>
      </mc:Choice>
      <mc:Fallback>
        <control shapeId="19531" r:id="rId42" name="p13"/>
      </mc:Fallback>
    </mc:AlternateContent>
    <mc:AlternateContent xmlns:mc="http://schemas.openxmlformats.org/markup-compatibility/2006">
      <mc:Choice Requires="x14">
        <control shapeId="19530" r:id="rId43" name="p12">
          <controlPr defaultSize="0" autoLine="0" r:id="rId4">
            <anchor moveWithCells="1">
              <from>
                <xdr:col>36</xdr:col>
                <xdr:colOff>0</xdr:colOff>
                <xdr:row>13</xdr:row>
                <xdr:rowOff>0</xdr:rowOff>
              </from>
              <to>
                <xdr:col>39</xdr:col>
                <xdr:colOff>234950</xdr:colOff>
                <xdr:row>17</xdr:row>
                <xdr:rowOff>177800</xdr:rowOff>
              </to>
            </anchor>
          </controlPr>
        </control>
      </mc:Choice>
      <mc:Fallback>
        <control shapeId="19530" r:id="rId43" name="p12"/>
      </mc:Fallback>
    </mc:AlternateContent>
    <mc:AlternateContent xmlns:mc="http://schemas.openxmlformats.org/markup-compatibility/2006">
      <mc:Choice Requires="x14">
        <control shapeId="19529" r:id="rId44" name="p11">
          <controlPr defaultSize="0" autoLine="0" r:id="rId4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35</xdr:col>
                <xdr:colOff>234950</xdr:colOff>
                <xdr:row>17</xdr:row>
                <xdr:rowOff>177800</xdr:rowOff>
              </to>
            </anchor>
          </controlPr>
        </control>
      </mc:Choice>
      <mc:Fallback>
        <control shapeId="19529" r:id="rId44" name="p11"/>
      </mc:Fallback>
    </mc:AlternateContent>
    <mc:AlternateContent xmlns:mc="http://schemas.openxmlformats.org/markup-compatibility/2006">
      <mc:Choice Requires="x14">
        <control shapeId="19528" r:id="rId45" name="p10">
          <controlPr defaultSize="0" autoLine="0" r:id="rId4">
            <anchor moveWithCells="1">
              <from>
                <xdr:col>28</xdr:col>
                <xdr:colOff>0</xdr:colOff>
                <xdr:row>13</xdr:row>
                <xdr:rowOff>0</xdr:rowOff>
              </from>
              <to>
                <xdr:col>31</xdr:col>
                <xdr:colOff>234950</xdr:colOff>
                <xdr:row>17</xdr:row>
                <xdr:rowOff>177800</xdr:rowOff>
              </to>
            </anchor>
          </controlPr>
        </control>
      </mc:Choice>
      <mc:Fallback>
        <control shapeId="19528" r:id="rId45" name="p10"/>
      </mc:Fallback>
    </mc:AlternateContent>
    <mc:AlternateContent xmlns:mc="http://schemas.openxmlformats.org/markup-compatibility/2006">
      <mc:Choice Requires="x14">
        <control shapeId="19527" r:id="rId46" name="p9">
          <controlPr defaultSize="0" autoLine="0" r:id="rId4">
            <anchor moveWithCells="1">
              <from>
                <xdr:col>24</xdr:col>
                <xdr:colOff>0</xdr:colOff>
                <xdr:row>13</xdr:row>
                <xdr:rowOff>0</xdr:rowOff>
              </from>
              <to>
                <xdr:col>27</xdr:col>
                <xdr:colOff>234950</xdr:colOff>
                <xdr:row>17</xdr:row>
                <xdr:rowOff>177800</xdr:rowOff>
              </to>
            </anchor>
          </controlPr>
        </control>
      </mc:Choice>
      <mc:Fallback>
        <control shapeId="19527" r:id="rId46" name="p9"/>
      </mc:Fallback>
    </mc:AlternateContent>
    <mc:AlternateContent xmlns:mc="http://schemas.openxmlformats.org/markup-compatibility/2006">
      <mc:Choice Requires="x14">
        <control shapeId="19526" r:id="rId47" name="p8">
          <controlPr defaultSize="0" autoLine="0" r:id="rId4">
            <anchor moveWithCells="1">
              <from>
                <xdr:col>20</xdr:col>
                <xdr:colOff>0</xdr:colOff>
                <xdr:row>13</xdr:row>
                <xdr:rowOff>0</xdr:rowOff>
              </from>
              <to>
                <xdr:col>23</xdr:col>
                <xdr:colOff>234950</xdr:colOff>
                <xdr:row>17</xdr:row>
                <xdr:rowOff>177800</xdr:rowOff>
              </to>
            </anchor>
          </controlPr>
        </control>
      </mc:Choice>
      <mc:Fallback>
        <control shapeId="19526" r:id="rId47" name="p8"/>
      </mc:Fallback>
    </mc:AlternateContent>
    <mc:AlternateContent xmlns:mc="http://schemas.openxmlformats.org/markup-compatibility/2006">
      <mc:Choice Requires="x14">
        <control shapeId="19525" r:id="rId48" name="p21">
          <controlPr defaultSize="0" autoLine="0" r:id="rId4">
            <anchor moveWithCells="1">
              <from>
                <xdr:col>46</xdr:col>
                <xdr:colOff>6350</xdr:colOff>
                <xdr:row>8</xdr:row>
                <xdr:rowOff>0</xdr:rowOff>
              </from>
              <to>
                <xdr:col>49</xdr:col>
                <xdr:colOff>241300</xdr:colOff>
                <xdr:row>12</xdr:row>
                <xdr:rowOff>177800</xdr:rowOff>
              </to>
            </anchor>
          </controlPr>
        </control>
      </mc:Choice>
      <mc:Fallback>
        <control shapeId="19525" r:id="rId48" name="p21"/>
      </mc:Fallback>
    </mc:AlternateContent>
    <mc:AlternateContent xmlns:mc="http://schemas.openxmlformats.org/markup-compatibility/2006">
      <mc:Choice Requires="x14">
        <control shapeId="19524" r:id="rId49" name="p20">
          <controlPr defaultSize="0" autoLine="0" r:id="rId4">
            <anchor moveWithCells="1">
              <from>
                <xdr:col>42</xdr:col>
                <xdr:colOff>6350</xdr:colOff>
                <xdr:row>8</xdr:row>
                <xdr:rowOff>0</xdr:rowOff>
              </from>
              <to>
                <xdr:col>45</xdr:col>
                <xdr:colOff>241300</xdr:colOff>
                <xdr:row>12</xdr:row>
                <xdr:rowOff>177800</xdr:rowOff>
              </to>
            </anchor>
          </controlPr>
        </control>
      </mc:Choice>
      <mc:Fallback>
        <control shapeId="19524" r:id="rId49" name="p20"/>
      </mc:Fallback>
    </mc:AlternateContent>
    <mc:AlternateContent xmlns:mc="http://schemas.openxmlformats.org/markup-compatibility/2006">
      <mc:Choice Requires="x14">
        <control shapeId="19523" r:id="rId50" name="p19">
          <controlPr defaultSize="0" autoLine="0" r:id="rId4">
            <anchor moveWithCells="1">
              <from>
                <xdr:col>38</xdr:col>
                <xdr:colOff>6350</xdr:colOff>
                <xdr:row>8</xdr:row>
                <xdr:rowOff>0</xdr:rowOff>
              </from>
              <to>
                <xdr:col>41</xdr:col>
                <xdr:colOff>241300</xdr:colOff>
                <xdr:row>12</xdr:row>
                <xdr:rowOff>177800</xdr:rowOff>
              </to>
            </anchor>
          </controlPr>
        </control>
      </mc:Choice>
      <mc:Fallback>
        <control shapeId="19523" r:id="rId50" name="p19"/>
      </mc:Fallback>
    </mc:AlternateContent>
    <mc:AlternateContent xmlns:mc="http://schemas.openxmlformats.org/markup-compatibility/2006">
      <mc:Choice Requires="x14">
        <control shapeId="19522" r:id="rId51" name="p18">
          <controlPr defaultSize="0" autoLine="0" r:id="rId4">
            <anchor moveWithCells="1">
              <from>
                <xdr:col>34</xdr:col>
                <xdr:colOff>6350</xdr:colOff>
                <xdr:row>8</xdr:row>
                <xdr:rowOff>0</xdr:rowOff>
              </from>
              <to>
                <xdr:col>37</xdr:col>
                <xdr:colOff>241300</xdr:colOff>
                <xdr:row>12</xdr:row>
                <xdr:rowOff>177800</xdr:rowOff>
              </to>
            </anchor>
          </controlPr>
        </control>
      </mc:Choice>
      <mc:Fallback>
        <control shapeId="19522" r:id="rId51" name="p18"/>
      </mc:Fallback>
    </mc:AlternateContent>
    <mc:AlternateContent xmlns:mc="http://schemas.openxmlformats.org/markup-compatibility/2006">
      <mc:Choice Requires="x14">
        <control shapeId="19521" r:id="rId52" name="p17">
          <controlPr defaultSize="0" autoLine="0" r:id="rId4">
            <anchor moveWithCells="1">
              <from>
                <xdr:col>30</xdr:col>
                <xdr:colOff>6350</xdr:colOff>
                <xdr:row>8</xdr:row>
                <xdr:rowOff>0</xdr:rowOff>
              </from>
              <to>
                <xdr:col>33</xdr:col>
                <xdr:colOff>241300</xdr:colOff>
                <xdr:row>12</xdr:row>
                <xdr:rowOff>177800</xdr:rowOff>
              </to>
            </anchor>
          </controlPr>
        </control>
      </mc:Choice>
      <mc:Fallback>
        <control shapeId="19521" r:id="rId52" name="p17"/>
      </mc:Fallback>
    </mc:AlternateContent>
    <mc:AlternateContent xmlns:mc="http://schemas.openxmlformats.org/markup-compatibility/2006">
      <mc:Choice Requires="x14">
        <control shapeId="19520" r:id="rId53" name="p16">
          <controlPr defaultSize="0" autoLine="0" r:id="rId4">
            <anchor moveWithCells="1">
              <from>
                <xdr:col>26</xdr:col>
                <xdr:colOff>6350</xdr:colOff>
                <xdr:row>8</xdr:row>
                <xdr:rowOff>0</xdr:rowOff>
              </from>
              <to>
                <xdr:col>29</xdr:col>
                <xdr:colOff>241300</xdr:colOff>
                <xdr:row>12</xdr:row>
                <xdr:rowOff>177800</xdr:rowOff>
              </to>
            </anchor>
          </controlPr>
        </control>
      </mc:Choice>
      <mc:Fallback>
        <control shapeId="19520" r:id="rId53" name="p16"/>
      </mc:Fallback>
    </mc:AlternateContent>
    <mc:AlternateContent xmlns:mc="http://schemas.openxmlformats.org/markup-compatibility/2006">
      <mc:Choice Requires="x14">
        <control shapeId="19519" r:id="rId54" name="p15">
          <controlPr defaultSize="0" autoLine="0" r:id="rId4">
            <anchor moveWithCells="1">
              <from>
                <xdr:col>22</xdr:col>
                <xdr:colOff>6350</xdr:colOff>
                <xdr:row>8</xdr:row>
                <xdr:rowOff>0</xdr:rowOff>
              </from>
              <to>
                <xdr:col>25</xdr:col>
                <xdr:colOff>241300</xdr:colOff>
                <xdr:row>12</xdr:row>
                <xdr:rowOff>177800</xdr:rowOff>
              </to>
            </anchor>
          </controlPr>
        </control>
      </mc:Choice>
      <mc:Fallback>
        <control shapeId="19519" r:id="rId54" name="p15"/>
      </mc:Fallback>
    </mc:AlternateContent>
    <mc:AlternateContent xmlns:mc="http://schemas.openxmlformats.org/markup-compatibility/2006">
      <mc:Choice Requires="x14">
        <control shapeId="19518" r:id="rId55" name="p28">
          <controlPr defaultSize="0" autoLine="0" r:id="rId4">
            <anchor moveWithCells="1">
              <from>
                <xdr:col>44</xdr:col>
                <xdr:colOff>0</xdr:colOff>
                <xdr:row>3</xdr:row>
                <xdr:rowOff>0</xdr:rowOff>
              </from>
              <to>
                <xdr:col>47</xdr:col>
                <xdr:colOff>234950</xdr:colOff>
                <xdr:row>7</xdr:row>
                <xdr:rowOff>177800</xdr:rowOff>
              </to>
            </anchor>
          </controlPr>
        </control>
      </mc:Choice>
      <mc:Fallback>
        <control shapeId="19518" r:id="rId55" name="p28"/>
      </mc:Fallback>
    </mc:AlternateContent>
    <mc:AlternateContent xmlns:mc="http://schemas.openxmlformats.org/markup-compatibility/2006">
      <mc:Choice Requires="x14">
        <control shapeId="19517" r:id="rId56" name="p27">
          <controlPr defaultSize="0" autoLine="0" r:id="rId4">
            <anchor moveWithCells="1">
              <from>
                <xdr:col>40</xdr:col>
                <xdr:colOff>0</xdr:colOff>
                <xdr:row>3</xdr:row>
                <xdr:rowOff>0</xdr:rowOff>
              </from>
              <to>
                <xdr:col>43</xdr:col>
                <xdr:colOff>234950</xdr:colOff>
                <xdr:row>7</xdr:row>
                <xdr:rowOff>177800</xdr:rowOff>
              </to>
            </anchor>
          </controlPr>
        </control>
      </mc:Choice>
      <mc:Fallback>
        <control shapeId="19517" r:id="rId56" name="p27"/>
      </mc:Fallback>
    </mc:AlternateContent>
    <mc:AlternateContent xmlns:mc="http://schemas.openxmlformats.org/markup-compatibility/2006">
      <mc:Choice Requires="x14">
        <control shapeId="19516" r:id="rId57" name="p26">
          <controlPr defaultSize="0" autoLine="0" r:id="rId4">
            <anchor moveWithCells="1">
              <from>
                <xdr:col>36</xdr:col>
                <xdr:colOff>0</xdr:colOff>
                <xdr:row>3</xdr:row>
                <xdr:rowOff>0</xdr:rowOff>
              </from>
              <to>
                <xdr:col>39</xdr:col>
                <xdr:colOff>234950</xdr:colOff>
                <xdr:row>7</xdr:row>
                <xdr:rowOff>177800</xdr:rowOff>
              </to>
            </anchor>
          </controlPr>
        </control>
      </mc:Choice>
      <mc:Fallback>
        <control shapeId="19516" r:id="rId57" name="p26"/>
      </mc:Fallback>
    </mc:AlternateContent>
    <mc:AlternateContent xmlns:mc="http://schemas.openxmlformats.org/markup-compatibility/2006">
      <mc:Choice Requires="x14">
        <control shapeId="19515" r:id="rId58" name="p25">
          <controlPr defaultSize="0" autoLine="0" r:id="rId4">
            <anchor moveWithCells="1">
              <from>
                <xdr:col>32</xdr:col>
                <xdr:colOff>0</xdr:colOff>
                <xdr:row>3</xdr:row>
                <xdr:rowOff>0</xdr:rowOff>
              </from>
              <to>
                <xdr:col>35</xdr:col>
                <xdr:colOff>234950</xdr:colOff>
                <xdr:row>7</xdr:row>
                <xdr:rowOff>177800</xdr:rowOff>
              </to>
            </anchor>
          </controlPr>
        </control>
      </mc:Choice>
      <mc:Fallback>
        <control shapeId="19515" r:id="rId58" name="p25"/>
      </mc:Fallback>
    </mc:AlternateContent>
    <mc:AlternateContent xmlns:mc="http://schemas.openxmlformats.org/markup-compatibility/2006">
      <mc:Choice Requires="x14">
        <control shapeId="19514" r:id="rId59" name="p24">
          <controlPr defaultSize="0" autoLine="0" r:id="rId4">
            <anchor moveWithCells="1">
              <from>
                <xdr:col>28</xdr:col>
                <xdr:colOff>0</xdr:colOff>
                <xdr:row>3</xdr:row>
                <xdr:rowOff>0</xdr:rowOff>
              </from>
              <to>
                <xdr:col>31</xdr:col>
                <xdr:colOff>234950</xdr:colOff>
                <xdr:row>7</xdr:row>
                <xdr:rowOff>177800</xdr:rowOff>
              </to>
            </anchor>
          </controlPr>
        </control>
      </mc:Choice>
      <mc:Fallback>
        <control shapeId="19514" r:id="rId59" name="p24"/>
      </mc:Fallback>
    </mc:AlternateContent>
    <mc:AlternateContent xmlns:mc="http://schemas.openxmlformats.org/markup-compatibility/2006">
      <mc:Choice Requires="x14">
        <control shapeId="19513" r:id="rId60" name="p23">
          <controlPr defaultSize="0" autoLine="0" r:id="rId61">
            <anchor moveWithCells="1">
              <from>
                <xdr:col>24</xdr:col>
                <xdr:colOff>0</xdr:colOff>
                <xdr:row>3</xdr:row>
                <xdr:rowOff>0</xdr:rowOff>
              </from>
              <to>
                <xdr:col>27</xdr:col>
                <xdr:colOff>234950</xdr:colOff>
                <xdr:row>7</xdr:row>
                <xdr:rowOff>177800</xdr:rowOff>
              </to>
            </anchor>
          </controlPr>
        </control>
      </mc:Choice>
      <mc:Fallback>
        <control shapeId="19513" r:id="rId60" name="p23"/>
      </mc:Fallback>
    </mc:AlternateContent>
    <mc:AlternateContent xmlns:mc="http://schemas.openxmlformats.org/markup-compatibility/2006">
      <mc:Choice Requires="x14">
        <control shapeId="19512" r:id="rId62" name="p22">
          <controlPr defaultSize="0" autoLine="0" r:id="rId63">
            <anchor moveWithCells="1">
              <from>
                <xdr:col>20</xdr:col>
                <xdr:colOff>0</xdr:colOff>
                <xdr:row>3</xdr:row>
                <xdr:rowOff>0</xdr:rowOff>
              </from>
              <to>
                <xdr:col>23</xdr:col>
                <xdr:colOff>234950</xdr:colOff>
                <xdr:row>7</xdr:row>
                <xdr:rowOff>177800</xdr:rowOff>
              </to>
            </anchor>
          </controlPr>
        </control>
      </mc:Choice>
      <mc:Fallback>
        <control shapeId="19512" r:id="rId62" name="p22"/>
      </mc:Fallback>
    </mc:AlternateContent>
    <mc:AlternateContent xmlns:mc="http://schemas.openxmlformats.org/markup-compatibility/2006">
      <mc:Choice Requires="x14">
        <control shapeId="19563" r:id="rId64" name="Button 107">
          <controlPr defaultSize="0" print="0" autoFill="0" autoPict="0" macro="[0]!Sheet13.tsv_to_sql">
            <anchor moveWithCells="1" sizeWithCells="1">
              <from>
                <xdr:col>2</xdr:col>
                <xdr:colOff>0</xdr:colOff>
                <xdr:row>21</xdr:row>
                <xdr:rowOff>0</xdr:rowOff>
              </from>
              <to>
                <xdr:col>4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564" r:id="rId65" name="Button 108">
          <controlPr defaultSize="0" print="0" autoFill="0" autoPict="0" macro="[0]!Sheet13.pos_card_sql_to_excel">
            <anchor moveWithCells="1" siz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565" r:id="rId66" name="Button 109">
          <controlPr defaultSize="0" print="0" autoFill="0" autoPict="0" macro="[0]!Sheet13.clearpos">
            <anchor moveWithCells="1" sizeWithCells="1">
              <from>
                <xdr:col>0</xdr:col>
                <xdr:colOff>0</xdr:colOff>
                <xdr:row>21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566" r:id="rId67" name="Button 110">
          <controlPr defaultSize="0" print="0" autoFill="0" autoPict="0" macro="[0]!Sheet13.export_caption">
            <anchor moveWithCells="1" sizeWithCells="1">
              <from>
                <xdr:col>2</xdr:col>
                <xdr:colOff>0</xdr:colOff>
                <xdr:row>24</xdr:row>
                <xdr:rowOff>6350</xdr:rowOff>
              </from>
              <to>
                <xdr:col>4</xdr:col>
                <xdr:colOff>0</xdr:colOff>
                <xdr:row>27</xdr:row>
                <xdr:rowOff>6350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812F1-793D-4E08-90A0-837CEB07280A}">
  <sheetPr codeName="Sheet6"/>
  <dimension ref="A1:DO61"/>
  <sheetViews>
    <sheetView topLeftCell="A10" workbookViewId="0">
      <selection activeCell="A15" sqref="A15"/>
    </sheetView>
  </sheetViews>
  <sheetFormatPr defaultRowHeight="14.5" x14ac:dyDescent="0.35"/>
  <cols>
    <col min="1" max="1" width="11.90625" bestFit="1" customWidth="1"/>
    <col min="2" max="2" width="3" bestFit="1" customWidth="1"/>
    <col min="3" max="3" width="4" style="10" bestFit="1" customWidth="1"/>
    <col min="4" max="59" width="4" bestFit="1" customWidth="1"/>
    <col min="61" max="69" width="2" bestFit="1" customWidth="1"/>
    <col min="70" max="117" width="3" bestFit="1" customWidth="1"/>
  </cols>
  <sheetData>
    <row r="1" spans="1:119" x14ac:dyDescent="0.35">
      <c r="B1" t="s">
        <v>78</v>
      </c>
      <c r="C1" s="10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I1">
        <v>1</v>
      </c>
      <c r="BJ1">
        <v>2</v>
      </c>
      <c r="BK1">
        <v>3</v>
      </c>
      <c r="BL1">
        <v>4</v>
      </c>
      <c r="BM1">
        <v>5</v>
      </c>
      <c r="BN1">
        <v>6</v>
      </c>
      <c r="BO1">
        <v>7</v>
      </c>
      <c r="BP1">
        <v>8</v>
      </c>
      <c r="BQ1">
        <v>9</v>
      </c>
      <c r="BR1">
        <v>10</v>
      </c>
      <c r="BS1">
        <v>11</v>
      </c>
      <c r="BT1">
        <v>12</v>
      </c>
      <c r="BU1">
        <v>13</v>
      </c>
      <c r="BV1">
        <v>14</v>
      </c>
      <c r="BW1">
        <v>15</v>
      </c>
      <c r="BX1">
        <v>16</v>
      </c>
      <c r="BY1">
        <v>17</v>
      </c>
      <c r="BZ1">
        <v>18</v>
      </c>
      <c r="CA1">
        <v>19</v>
      </c>
      <c r="CB1">
        <v>20</v>
      </c>
      <c r="CC1">
        <v>21</v>
      </c>
      <c r="CD1">
        <v>22</v>
      </c>
      <c r="CE1">
        <v>23</v>
      </c>
      <c r="CF1">
        <v>24</v>
      </c>
      <c r="CG1">
        <v>25</v>
      </c>
      <c r="CH1">
        <v>26</v>
      </c>
      <c r="CI1">
        <v>27</v>
      </c>
      <c r="CJ1">
        <v>28</v>
      </c>
      <c r="CK1">
        <v>29</v>
      </c>
      <c r="CL1">
        <v>30</v>
      </c>
      <c r="CM1">
        <v>31</v>
      </c>
      <c r="CN1">
        <v>32</v>
      </c>
      <c r="CO1">
        <v>33</v>
      </c>
      <c r="CP1">
        <v>34</v>
      </c>
      <c r="CQ1">
        <v>35</v>
      </c>
      <c r="CR1">
        <v>36</v>
      </c>
      <c r="CS1">
        <v>37</v>
      </c>
      <c r="CT1">
        <v>38</v>
      </c>
      <c r="CU1">
        <v>39</v>
      </c>
      <c r="CV1">
        <v>40</v>
      </c>
      <c r="CW1">
        <v>41</v>
      </c>
      <c r="CX1">
        <v>42</v>
      </c>
      <c r="CY1">
        <v>43</v>
      </c>
      <c r="CZ1">
        <v>44</v>
      </c>
      <c r="DA1">
        <v>45</v>
      </c>
      <c r="DB1">
        <v>46</v>
      </c>
      <c r="DC1">
        <v>47</v>
      </c>
      <c r="DD1">
        <v>48</v>
      </c>
      <c r="DE1">
        <v>49</v>
      </c>
      <c r="DF1">
        <v>50</v>
      </c>
      <c r="DG1">
        <v>51</v>
      </c>
      <c r="DH1">
        <v>52</v>
      </c>
      <c r="DI1">
        <v>53</v>
      </c>
      <c r="DJ1">
        <v>54</v>
      </c>
      <c r="DK1">
        <v>55</v>
      </c>
      <c r="DL1">
        <v>56</v>
      </c>
      <c r="DM1">
        <v>57</v>
      </c>
    </row>
    <row r="2" spans="1:119" x14ac:dyDescent="0.35">
      <c r="A2" t="s">
        <v>23</v>
      </c>
      <c r="B2">
        <v>1</v>
      </c>
      <c r="C2" s="10">
        <v>10</v>
      </c>
      <c r="D2">
        <v>3</v>
      </c>
      <c r="E2">
        <v>3</v>
      </c>
      <c r="F2">
        <v>1.5</v>
      </c>
      <c r="G2">
        <v>3</v>
      </c>
      <c r="H2">
        <v>1.5</v>
      </c>
      <c r="I2">
        <v>10</v>
      </c>
      <c r="J2">
        <v>3</v>
      </c>
      <c r="K2">
        <v>3</v>
      </c>
      <c r="L2">
        <v>3</v>
      </c>
      <c r="M2">
        <v>1.5</v>
      </c>
      <c r="N2">
        <v>1.5</v>
      </c>
      <c r="O2">
        <v>3</v>
      </c>
      <c r="P2">
        <v>0</v>
      </c>
      <c r="Q2">
        <v>10</v>
      </c>
      <c r="R2">
        <v>1.5</v>
      </c>
      <c r="S2">
        <v>3</v>
      </c>
      <c r="T2">
        <v>10</v>
      </c>
      <c r="U2">
        <v>3</v>
      </c>
      <c r="V2">
        <v>10</v>
      </c>
      <c r="W2">
        <v>1.5</v>
      </c>
      <c r="X2">
        <v>1.5</v>
      </c>
      <c r="Y2">
        <v>1.5</v>
      </c>
      <c r="Z2">
        <v>3</v>
      </c>
      <c r="AA2">
        <v>10</v>
      </c>
      <c r="AB2">
        <v>1.5</v>
      </c>
      <c r="AC2">
        <v>1.5</v>
      </c>
      <c r="AD2">
        <v>10</v>
      </c>
      <c r="AE2">
        <v>1.5</v>
      </c>
      <c r="AF2">
        <v>3</v>
      </c>
      <c r="AG2">
        <v>3</v>
      </c>
      <c r="AH2">
        <v>0</v>
      </c>
      <c r="AI2">
        <v>1.5</v>
      </c>
      <c r="AJ2">
        <v>1.5</v>
      </c>
      <c r="AK2">
        <v>1.5</v>
      </c>
      <c r="AL2">
        <v>1.5</v>
      </c>
      <c r="AM2">
        <v>1.5</v>
      </c>
      <c r="AN2">
        <v>10</v>
      </c>
      <c r="AO2">
        <v>10</v>
      </c>
      <c r="AP2">
        <v>3</v>
      </c>
      <c r="AQ2">
        <v>1.5</v>
      </c>
      <c r="AR2">
        <v>0</v>
      </c>
      <c r="AS2">
        <v>1.5</v>
      </c>
      <c r="AT2">
        <v>10</v>
      </c>
      <c r="AU2">
        <v>1.5</v>
      </c>
      <c r="AV2">
        <v>3</v>
      </c>
      <c r="AW2">
        <v>0</v>
      </c>
      <c r="AX2">
        <v>1.5</v>
      </c>
      <c r="AY2">
        <v>10</v>
      </c>
      <c r="AZ2">
        <v>3</v>
      </c>
      <c r="BA2">
        <v>10</v>
      </c>
      <c r="BB2">
        <v>3</v>
      </c>
      <c r="BC2">
        <v>1.5</v>
      </c>
      <c r="BD2">
        <v>0</v>
      </c>
      <c r="BE2">
        <v>10</v>
      </c>
      <c r="BF2">
        <v>1.5</v>
      </c>
      <c r="BG2">
        <v>1.5</v>
      </c>
      <c r="BI2">
        <f>C2*C$60</f>
        <v>10</v>
      </c>
      <c r="BJ2">
        <f t="shared" ref="BJ2:DM2" si="0">D2*D$60</f>
        <v>0</v>
      </c>
      <c r="BK2">
        <f t="shared" si="0"/>
        <v>0</v>
      </c>
      <c r="BL2">
        <f t="shared" si="0"/>
        <v>1.5</v>
      </c>
      <c r="BM2">
        <f t="shared" si="0"/>
        <v>0</v>
      </c>
      <c r="BN2">
        <f t="shared" si="0"/>
        <v>0</v>
      </c>
      <c r="BO2">
        <f t="shared" si="0"/>
        <v>10</v>
      </c>
      <c r="BP2">
        <f t="shared" si="0"/>
        <v>3</v>
      </c>
      <c r="BQ2">
        <f t="shared" si="0"/>
        <v>3</v>
      </c>
      <c r="BR2">
        <f t="shared" si="0"/>
        <v>0</v>
      </c>
      <c r="BS2">
        <f t="shared" si="0"/>
        <v>0</v>
      </c>
      <c r="BT2">
        <f t="shared" si="0"/>
        <v>0</v>
      </c>
      <c r="BU2">
        <f t="shared" si="0"/>
        <v>0</v>
      </c>
      <c r="BV2">
        <f t="shared" si="0"/>
        <v>0</v>
      </c>
      <c r="BW2">
        <f t="shared" si="0"/>
        <v>10</v>
      </c>
      <c r="BX2">
        <f t="shared" si="0"/>
        <v>0</v>
      </c>
      <c r="BY2">
        <f t="shared" si="0"/>
        <v>3</v>
      </c>
      <c r="BZ2">
        <f t="shared" si="0"/>
        <v>10</v>
      </c>
      <c r="CA2">
        <f t="shared" si="0"/>
        <v>0</v>
      </c>
      <c r="CB2">
        <f t="shared" si="0"/>
        <v>10</v>
      </c>
      <c r="CC2">
        <f t="shared" si="0"/>
        <v>0</v>
      </c>
      <c r="CD2">
        <f t="shared" si="0"/>
        <v>0</v>
      </c>
      <c r="CE2">
        <f t="shared" si="0"/>
        <v>0</v>
      </c>
      <c r="CF2">
        <f t="shared" si="0"/>
        <v>0</v>
      </c>
      <c r="CG2">
        <f t="shared" si="0"/>
        <v>0</v>
      </c>
      <c r="CH2">
        <f t="shared" si="0"/>
        <v>0</v>
      </c>
      <c r="CI2">
        <f t="shared" si="0"/>
        <v>0</v>
      </c>
      <c r="CJ2">
        <f t="shared" si="0"/>
        <v>0</v>
      </c>
      <c r="CK2">
        <f t="shared" si="0"/>
        <v>0</v>
      </c>
      <c r="CL2">
        <f t="shared" si="0"/>
        <v>0</v>
      </c>
      <c r="CM2">
        <f t="shared" si="0"/>
        <v>0</v>
      </c>
      <c r="CN2">
        <f t="shared" si="0"/>
        <v>0</v>
      </c>
      <c r="CO2">
        <f t="shared" si="0"/>
        <v>0</v>
      </c>
      <c r="CP2">
        <f t="shared" si="0"/>
        <v>0</v>
      </c>
      <c r="CQ2">
        <f t="shared" si="0"/>
        <v>0</v>
      </c>
      <c r="CR2">
        <f t="shared" si="0"/>
        <v>0</v>
      </c>
      <c r="CS2">
        <f t="shared" si="0"/>
        <v>0</v>
      </c>
      <c r="CT2">
        <f t="shared" si="0"/>
        <v>0</v>
      </c>
      <c r="CU2">
        <f t="shared" si="0"/>
        <v>10</v>
      </c>
      <c r="CV2">
        <f t="shared" si="0"/>
        <v>0</v>
      </c>
      <c r="CW2">
        <f t="shared" si="0"/>
        <v>0</v>
      </c>
      <c r="CX2">
        <f t="shared" si="0"/>
        <v>0</v>
      </c>
      <c r="CY2">
        <f t="shared" si="0"/>
        <v>0</v>
      </c>
      <c r="CZ2">
        <f t="shared" si="0"/>
        <v>0</v>
      </c>
      <c r="DA2">
        <f t="shared" si="0"/>
        <v>0</v>
      </c>
      <c r="DB2">
        <f t="shared" si="0"/>
        <v>0</v>
      </c>
      <c r="DC2">
        <f t="shared" si="0"/>
        <v>0</v>
      </c>
      <c r="DD2">
        <f t="shared" si="0"/>
        <v>1.5</v>
      </c>
      <c r="DE2">
        <f t="shared" si="0"/>
        <v>0</v>
      </c>
      <c r="DF2">
        <f t="shared" si="0"/>
        <v>0</v>
      </c>
      <c r="DG2">
        <f t="shared" si="0"/>
        <v>10</v>
      </c>
      <c r="DH2">
        <f t="shared" si="0"/>
        <v>0</v>
      </c>
      <c r="DI2">
        <f t="shared" si="0"/>
        <v>0</v>
      </c>
      <c r="DJ2">
        <f t="shared" si="0"/>
        <v>0</v>
      </c>
      <c r="DK2">
        <f t="shared" si="0"/>
        <v>10</v>
      </c>
      <c r="DL2">
        <f t="shared" si="0"/>
        <v>0</v>
      </c>
      <c r="DM2">
        <f t="shared" si="0"/>
        <v>1.5</v>
      </c>
      <c r="DO2">
        <f>SUM(BI2:DM2)</f>
        <v>93.5</v>
      </c>
    </row>
    <row r="3" spans="1:119" x14ac:dyDescent="0.35">
      <c r="A3" t="s">
        <v>75</v>
      </c>
      <c r="B3">
        <v>2</v>
      </c>
      <c r="C3" s="10">
        <v>3</v>
      </c>
      <c r="D3">
        <v>10</v>
      </c>
      <c r="E3">
        <v>10</v>
      </c>
      <c r="F3">
        <v>10</v>
      </c>
      <c r="G3">
        <v>0</v>
      </c>
      <c r="H3">
        <v>3</v>
      </c>
      <c r="I3">
        <v>3</v>
      </c>
      <c r="J3">
        <v>0</v>
      </c>
      <c r="K3">
        <v>10</v>
      </c>
      <c r="L3">
        <v>1.5</v>
      </c>
      <c r="M3">
        <v>0</v>
      </c>
      <c r="N3">
        <v>0</v>
      </c>
      <c r="O3">
        <v>1.5</v>
      </c>
      <c r="P3">
        <v>4.5</v>
      </c>
      <c r="Q3">
        <v>10</v>
      </c>
      <c r="R3">
        <v>1.5</v>
      </c>
      <c r="S3">
        <v>3</v>
      </c>
      <c r="T3">
        <v>1.5</v>
      </c>
      <c r="U3">
        <v>0</v>
      </c>
      <c r="V3">
        <v>3</v>
      </c>
      <c r="W3">
        <v>3</v>
      </c>
      <c r="X3">
        <v>1.5</v>
      </c>
      <c r="Y3">
        <v>0</v>
      </c>
      <c r="Z3">
        <v>4.5</v>
      </c>
      <c r="AA3">
        <v>3</v>
      </c>
      <c r="AB3">
        <v>10</v>
      </c>
      <c r="AC3">
        <v>0</v>
      </c>
      <c r="AD3">
        <v>1.5</v>
      </c>
      <c r="AE3">
        <v>4.5</v>
      </c>
      <c r="AF3">
        <v>1.5</v>
      </c>
      <c r="AG3">
        <v>3</v>
      </c>
      <c r="AH3">
        <v>1.5</v>
      </c>
      <c r="AI3">
        <v>0</v>
      </c>
      <c r="AJ3">
        <v>10</v>
      </c>
      <c r="AK3">
        <v>1.5</v>
      </c>
      <c r="AL3">
        <v>10</v>
      </c>
      <c r="AM3">
        <v>10</v>
      </c>
      <c r="AN3">
        <v>1.5</v>
      </c>
      <c r="AO3">
        <v>1.5</v>
      </c>
      <c r="AP3">
        <v>1.5</v>
      </c>
      <c r="AQ3">
        <v>10</v>
      </c>
      <c r="AR3">
        <v>3</v>
      </c>
      <c r="AS3">
        <v>1.5</v>
      </c>
      <c r="AT3">
        <v>1.5</v>
      </c>
      <c r="AU3">
        <v>0</v>
      </c>
      <c r="AV3">
        <v>3</v>
      </c>
      <c r="AW3">
        <v>3</v>
      </c>
      <c r="AX3">
        <v>6</v>
      </c>
      <c r="AY3">
        <v>10</v>
      </c>
      <c r="AZ3">
        <v>10</v>
      </c>
      <c r="BA3">
        <v>1.5</v>
      </c>
      <c r="BB3">
        <v>6</v>
      </c>
      <c r="BC3">
        <v>3</v>
      </c>
      <c r="BD3">
        <v>0</v>
      </c>
      <c r="BE3">
        <v>3</v>
      </c>
      <c r="BF3">
        <v>0</v>
      </c>
      <c r="BG3">
        <v>3</v>
      </c>
      <c r="BI3">
        <f t="shared" ref="BI3:BI58" si="1">C3*C$60</f>
        <v>3</v>
      </c>
      <c r="BJ3">
        <f t="shared" ref="BJ3:BJ58" si="2">D3*D$60</f>
        <v>0</v>
      </c>
      <c r="BK3">
        <f t="shared" ref="BK3:BK58" si="3">E3*E$60</f>
        <v>0</v>
      </c>
      <c r="BL3">
        <f t="shared" ref="BL3:BL58" si="4">F3*F$60</f>
        <v>10</v>
      </c>
      <c r="BM3">
        <f t="shared" ref="BM3:BM58" si="5">G3*G$60</f>
        <v>0</v>
      </c>
      <c r="BN3">
        <f t="shared" ref="BN3:BN58" si="6">H3*H$60</f>
        <v>0</v>
      </c>
      <c r="BO3">
        <f t="shared" ref="BO3:BO58" si="7">I3*I$60</f>
        <v>3</v>
      </c>
      <c r="BP3">
        <f t="shared" ref="BP3:BP58" si="8">J3*J$60</f>
        <v>0</v>
      </c>
      <c r="BQ3">
        <f t="shared" ref="BQ3:BQ58" si="9">K3*K$60</f>
        <v>10</v>
      </c>
      <c r="BR3">
        <f t="shared" ref="BR3:BR58" si="10">L3*L$60</f>
        <v>0</v>
      </c>
      <c r="BS3">
        <f t="shared" ref="BS3:BS58" si="11">M3*M$60</f>
        <v>0</v>
      </c>
      <c r="BT3">
        <f t="shared" ref="BT3:BT58" si="12">N3*N$60</f>
        <v>0</v>
      </c>
      <c r="BU3">
        <f t="shared" ref="BU3:BU58" si="13">O3*O$60</f>
        <v>0</v>
      </c>
      <c r="BV3">
        <f t="shared" ref="BV3:BV58" si="14">P3*P$60</f>
        <v>4.5</v>
      </c>
      <c r="BW3">
        <f t="shared" ref="BW3:BW58" si="15">Q3*Q$60</f>
        <v>10</v>
      </c>
      <c r="BX3">
        <f t="shared" ref="BX3:BX58" si="16">R3*R$60</f>
        <v>0</v>
      </c>
      <c r="BY3">
        <f t="shared" ref="BY3:BY58" si="17">S3*S$60</f>
        <v>3</v>
      </c>
      <c r="BZ3">
        <f t="shared" ref="BZ3:BZ58" si="18">T3*T$60</f>
        <v>1.5</v>
      </c>
      <c r="CA3">
        <f t="shared" ref="CA3:CA58" si="19">U3*U$60</f>
        <v>0</v>
      </c>
      <c r="CB3">
        <f t="shared" ref="CB3:CB58" si="20">V3*V$60</f>
        <v>3</v>
      </c>
      <c r="CC3">
        <f t="shared" ref="CC3:CC58" si="21">W3*W$60</f>
        <v>0</v>
      </c>
      <c r="CD3">
        <f t="shared" ref="CD3:CD58" si="22">X3*X$60</f>
        <v>0</v>
      </c>
      <c r="CE3">
        <f t="shared" ref="CE3:CE58" si="23">Y3*Y$60</f>
        <v>0</v>
      </c>
      <c r="CF3">
        <f t="shared" ref="CF3:CF58" si="24">Z3*Z$60</f>
        <v>0</v>
      </c>
      <c r="CG3">
        <f t="shared" ref="CG3:CG58" si="25">AA3*AA$60</f>
        <v>0</v>
      </c>
      <c r="CH3">
        <f t="shared" ref="CH3:CH58" si="26">AB3*AB$60</f>
        <v>0</v>
      </c>
      <c r="CI3">
        <f t="shared" ref="CI3:CI58" si="27">AC3*AC$60</f>
        <v>0</v>
      </c>
      <c r="CJ3">
        <f t="shared" ref="CJ3:CJ58" si="28">AD3*AD$60</f>
        <v>0</v>
      </c>
      <c r="CK3">
        <f t="shared" ref="CK3:CK58" si="29">AE3*AE$60</f>
        <v>0</v>
      </c>
      <c r="CL3">
        <f t="shared" ref="CL3:CL58" si="30">AF3*AF$60</f>
        <v>0</v>
      </c>
      <c r="CM3">
        <f t="shared" ref="CM3:CM58" si="31">AG3*AG$60</f>
        <v>0</v>
      </c>
      <c r="CN3">
        <f t="shared" ref="CN3:CN58" si="32">AH3*AH$60</f>
        <v>0</v>
      </c>
      <c r="CO3">
        <f t="shared" ref="CO3:CO58" si="33">AI3*AI$60</f>
        <v>0</v>
      </c>
      <c r="CP3">
        <f t="shared" ref="CP3:CP58" si="34">AJ3*AJ$60</f>
        <v>0</v>
      </c>
      <c r="CQ3">
        <f t="shared" ref="CQ3:CQ58" si="35">AK3*AK$60</f>
        <v>0</v>
      </c>
      <c r="CR3">
        <f t="shared" ref="CR3:CR58" si="36">AL3*AL$60</f>
        <v>0</v>
      </c>
      <c r="CS3">
        <f t="shared" ref="CS3:CS58" si="37">AM3*AM$60</f>
        <v>0</v>
      </c>
      <c r="CT3">
        <f t="shared" ref="CT3:CT58" si="38">AN3*AN$60</f>
        <v>0</v>
      </c>
      <c r="CU3">
        <f t="shared" ref="CU3:CU58" si="39">AO3*AO$60</f>
        <v>1.5</v>
      </c>
      <c r="CV3">
        <f t="shared" ref="CV3:CV58" si="40">AP3*AP$60</f>
        <v>0</v>
      </c>
      <c r="CW3">
        <f t="shared" ref="CW3:CW58" si="41">AQ3*AQ$60</f>
        <v>0</v>
      </c>
      <c r="CX3">
        <f t="shared" ref="CX3:CX58" si="42">AR3*AR$60</f>
        <v>3</v>
      </c>
      <c r="CY3">
        <f t="shared" ref="CY3:CY58" si="43">AS3*AS$60</f>
        <v>0</v>
      </c>
      <c r="CZ3">
        <f t="shared" ref="CZ3:CZ58" si="44">AT3*AT$60</f>
        <v>0</v>
      </c>
      <c r="DA3">
        <f t="shared" ref="DA3:DA58" si="45">AU3*AU$60</f>
        <v>0</v>
      </c>
      <c r="DB3">
        <f t="shared" ref="DB3:DB58" si="46">AV3*AV$60</f>
        <v>0</v>
      </c>
      <c r="DC3">
        <f t="shared" ref="DC3:DC58" si="47">AW3*AW$60</f>
        <v>0</v>
      </c>
      <c r="DD3">
        <f t="shared" ref="DD3:DD58" si="48">AX3*AX$60</f>
        <v>6</v>
      </c>
      <c r="DE3">
        <f t="shared" ref="DE3:DE58" si="49">AY3*AY$60</f>
        <v>0</v>
      </c>
      <c r="DF3">
        <f t="shared" ref="DF3:DF58" si="50">AZ3*AZ$60</f>
        <v>0</v>
      </c>
      <c r="DG3">
        <f t="shared" ref="DG3:DG58" si="51">BA3*BA$60</f>
        <v>1.5</v>
      </c>
      <c r="DH3">
        <f t="shared" ref="DH3:DH58" si="52">BB3*BB$60</f>
        <v>0</v>
      </c>
      <c r="DI3">
        <f t="shared" ref="DI3:DI58" si="53">BC3*BC$60</f>
        <v>0</v>
      </c>
      <c r="DJ3">
        <f t="shared" ref="DJ3:DJ58" si="54">BD3*BD$60</f>
        <v>0</v>
      </c>
      <c r="DK3">
        <f t="shared" ref="DK3:DK58" si="55">BE3*BE$60</f>
        <v>3</v>
      </c>
      <c r="DL3">
        <f t="shared" ref="DL3:DL58" si="56">BF3*BF$60</f>
        <v>0</v>
      </c>
      <c r="DM3">
        <f t="shared" ref="DM3:DM58" si="57">BG3*BG$60</f>
        <v>3</v>
      </c>
      <c r="DO3">
        <f t="shared" ref="DO3:DO58" si="58">SUM(BI3:DM3)</f>
        <v>66</v>
      </c>
    </row>
    <row r="4" spans="1:119" x14ac:dyDescent="0.35">
      <c r="A4" t="s">
        <v>24</v>
      </c>
      <c r="B4">
        <v>3</v>
      </c>
      <c r="C4" s="10">
        <v>3</v>
      </c>
      <c r="D4">
        <v>10</v>
      </c>
      <c r="E4">
        <v>10</v>
      </c>
      <c r="F4">
        <v>10</v>
      </c>
      <c r="G4">
        <v>0</v>
      </c>
      <c r="H4">
        <v>10</v>
      </c>
      <c r="I4">
        <v>3</v>
      </c>
      <c r="J4">
        <v>0</v>
      </c>
      <c r="K4">
        <v>3</v>
      </c>
      <c r="L4">
        <v>0</v>
      </c>
      <c r="M4">
        <v>1.5</v>
      </c>
      <c r="N4">
        <v>0</v>
      </c>
      <c r="O4">
        <v>3</v>
      </c>
      <c r="P4">
        <v>3</v>
      </c>
      <c r="Q4">
        <v>4.5</v>
      </c>
      <c r="R4">
        <v>1.5</v>
      </c>
      <c r="S4">
        <v>1.5</v>
      </c>
      <c r="T4">
        <v>1.5</v>
      </c>
      <c r="U4">
        <v>0</v>
      </c>
      <c r="V4">
        <v>3</v>
      </c>
      <c r="W4">
        <v>1.5</v>
      </c>
      <c r="X4">
        <v>1.5</v>
      </c>
      <c r="Y4">
        <v>1.5</v>
      </c>
      <c r="Z4">
        <v>10</v>
      </c>
      <c r="AA4">
        <v>1.5</v>
      </c>
      <c r="AB4">
        <v>1.5</v>
      </c>
      <c r="AC4">
        <v>0</v>
      </c>
      <c r="AD4">
        <v>1.5</v>
      </c>
      <c r="AE4">
        <v>1.5</v>
      </c>
      <c r="AF4">
        <v>0</v>
      </c>
      <c r="AG4">
        <v>1.5</v>
      </c>
      <c r="AH4">
        <v>1.5</v>
      </c>
      <c r="AI4">
        <v>1.5</v>
      </c>
      <c r="AJ4">
        <v>3</v>
      </c>
      <c r="AK4">
        <v>0</v>
      </c>
      <c r="AL4">
        <v>3</v>
      </c>
      <c r="AM4">
        <v>3</v>
      </c>
      <c r="AN4">
        <v>3</v>
      </c>
      <c r="AO4">
        <v>1.5</v>
      </c>
      <c r="AP4">
        <v>10</v>
      </c>
      <c r="AQ4">
        <v>1.5</v>
      </c>
      <c r="AR4">
        <v>3</v>
      </c>
      <c r="AS4">
        <v>1.5</v>
      </c>
      <c r="AT4">
        <v>1.5</v>
      </c>
      <c r="AU4">
        <v>0</v>
      </c>
      <c r="AV4">
        <v>1.5</v>
      </c>
      <c r="AW4">
        <v>0</v>
      </c>
      <c r="AX4">
        <v>3</v>
      </c>
      <c r="AY4">
        <v>10</v>
      </c>
      <c r="AZ4">
        <v>10</v>
      </c>
      <c r="BA4">
        <v>1.5</v>
      </c>
      <c r="BB4">
        <v>4.5</v>
      </c>
      <c r="BC4">
        <v>10</v>
      </c>
      <c r="BD4">
        <v>1.5</v>
      </c>
      <c r="BE4">
        <v>10</v>
      </c>
      <c r="BF4">
        <v>0</v>
      </c>
      <c r="BG4">
        <v>1.5</v>
      </c>
      <c r="BI4">
        <f t="shared" si="1"/>
        <v>3</v>
      </c>
      <c r="BJ4">
        <f t="shared" si="2"/>
        <v>0</v>
      </c>
      <c r="BK4">
        <f t="shared" si="3"/>
        <v>0</v>
      </c>
      <c r="BL4">
        <f t="shared" si="4"/>
        <v>10</v>
      </c>
      <c r="BM4">
        <f t="shared" si="5"/>
        <v>0</v>
      </c>
      <c r="BN4">
        <f t="shared" si="6"/>
        <v>0</v>
      </c>
      <c r="BO4">
        <f t="shared" si="7"/>
        <v>3</v>
      </c>
      <c r="BP4">
        <f t="shared" si="8"/>
        <v>0</v>
      </c>
      <c r="BQ4">
        <f t="shared" si="9"/>
        <v>3</v>
      </c>
      <c r="BR4">
        <f t="shared" si="10"/>
        <v>0</v>
      </c>
      <c r="BS4">
        <f t="shared" si="11"/>
        <v>0</v>
      </c>
      <c r="BT4">
        <f t="shared" si="12"/>
        <v>0</v>
      </c>
      <c r="BU4">
        <f t="shared" si="13"/>
        <v>0</v>
      </c>
      <c r="BV4">
        <f t="shared" si="14"/>
        <v>3</v>
      </c>
      <c r="BW4">
        <f t="shared" si="15"/>
        <v>4.5</v>
      </c>
      <c r="BX4">
        <f t="shared" si="16"/>
        <v>0</v>
      </c>
      <c r="BY4">
        <f t="shared" si="17"/>
        <v>1.5</v>
      </c>
      <c r="BZ4">
        <f t="shared" si="18"/>
        <v>1.5</v>
      </c>
      <c r="CA4">
        <f t="shared" si="19"/>
        <v>0</v>
      </c>
      <c r="CB4">
        <f t="shared" si="20"/>
        <v>3</v>
      </c>
      <c r="CC4">
        <f t="shared" si="21"/>
        <v>0</v>
      </c>
      <c r="CD4">
        <f t="shared" si="22"/>
        <v>0</v>
      </c>
      <c r="CE4">
        <f t="shared" si="23"/>
        <v>0</v>
      </c>
      <c r="CF4">
        <f t="shared" si="24"/>
        <v>0</v>
      </c>
      <c r="CG4">
        <f t="shared" si="25"/>
        <v>0</v>
      </c>
      <c r="CH4">
        <f t="shared" si="26"/>
        <v>0</v>
      </c>
      <c r="CI4">
        <f t="shared" si="27"/>
        <v>0</v>
      </c>
      <c r="CJ4">
        <f t="shared" si="28"/>
        <v>0</v>
      </c>
      <c r="CK4">
        <f t="shared" si="29"/>
        <v>0</v>
      </c>
      <c r="CL4">
        <f t="shared" si="30"/>
        <v>0</v>
      </c>
      <c r="CM4">
        <f t="shared" si="31"/>
        <v>0</v>
      </c>
      <c r="CN4">
        <f t="shared" si="32"/>
        <v>0</v>
      </c>
      <c r="CO4">
        <f t="shared" si="33"/>
        <v>0</v>
      </c>
      <c r="CP4">
        <f t="shared" si="34"/>
        <v>0</v>
      </c>
      <c r="CQ4">
        <f t="shared" si="35"/>
        <v>0</v>
      </c>
      <c r="CR4">
        <f t="shared" si="36"/>
        <v>0</v>
      </c>
      <c r="CS4">
        <f t="shared" si="37"/>
        <v>0</v>
      </c>
      <c r="CT4">
        <f t="shared" si="38"/>
        <v>0</v>
      </c>
      <c r="CU4">
        <f t="shared" si="39"/>
        <v>1.5</v>
      </c>
      <c r="CV4">
        <f t="shared" si="40"/>
        <v>0</v>
      </c>
      <c r="CW4">
        <f t="shared" si="41"/>
        <v>0</v>
      </c>
      <c r="CX4">
        <f t="shared" si="42"/>
        <v>3</v>
      </c>
      <c r="CY4">
        <f t="shared" si="43"/>
        <v>0</v>
      </c>
      <c r="CZ4">
        <f t="shared" si="44"/>
        <v>0</v>
      </c>
      <c r="DA4">
        <f t="shared" si="45"/>
        <v>0</v>
      </c>
      <c r="DB4">
        <f t="shared" si="46"/>
        <v>0</v>
      </c>
      <c r="DC4">
        <f t="shared" si="47"/>
        <v>0</v>
      </c>
      <c r="DD4">
        <f t="shared" si="48"/>
        <v>3</v>
      </c>
      <c r="DE4">
        <f t="shared" si="49"/>
        <v>0</v>
      </c>
      <c r="DF4">
        <f t="shared" si="50"/>
        <v>0</v>
      </c>
      <c r="DG4">
        <f t="shared" si="51"/>
        <v>1.5</v>
      </c>
      <c r="DH4">
        <f t="shared" si="52"/>
        <v>0</v>
      </c>
      <c r="DI4">
        <f t="shared" si="53"/>
        <v>0</v>
      </c>
      <c r="DJ4">
        <f t="shared" si="54"/>
        <v>0</v>
      </c>
      <c r="DK4">
        <f t="shared" si="55"/>
        <v>10</v>
      </c>
      <c r="DL4">
        <f t="shared" si="56"/>
        <v>0</v>
      </c>
      <c r="DM4">
        <f t="shared" si="57"/>
        <v>1.5</v>
      </c>
      <c r="DO4">
        <f t="shared" si="58"/>
        <v>53</v>
      </c>
    </row>
    <row r="5" spans="1:119" x14ac:dyDescent="0.35">
      <c r="A5" t="s">
        <v>25</v>
      </c>
      <c r="B5">
        <v>4</v>
      </c>
      <c r="C5" s="10">
        <v>1.5</v>
      </c>
      <c r="D5">
        <v>10</v>
      </c>
      <c r="E5">
        <v>10</v>
      </c>
      <c r="F5">
        <v>10</v>
      </c>
      <c r="G5">
        <v>1.5</v>
      </c>
      <c r="H5">
        <v>1.5</v>
      </c>
      <c r="I5">
        <v>1.5</v>
      </c>
      <c r="J5">
        <v>0</v>
      </c>
      <c r="K5">
        <v>10</v>
      </c>
      <c r="L5">
        <v>1.5</v>
      </c>
      <c r="M5">
        <v>1.5</v>
      </c>
      <c r="N5">
        <v>0</v>
      </c>
      <c r="O5">
        <v>1.5</v>
      </c>
      <c r="P5">
        <v>10</v>
      </c>
      <c r="Q5">
        <v>4.5</v>
      </c>
      <c r="R5">
        <v>1.5</v>
      </c>
      <c r="S5">
        <v>1.5</v>
      </c>
      <c r="T5">
        <v>0</v>
      </c>
      <c r="U5">
        <v>0</v>
      </c>
      <c r="V5">
        <v>1.5</v>
      </c>
      <c r="W5">
        <v>1.5</v>
      </c>
      <c r="X5">
        <v>0</v>
      </c>
      <c r="Y5">
        <v>0</v>
      </c>
      <c r="Z5">
        <v>3</v>
      </c>
      <c r="AA5">
        <v>3</v>
      </c>
      <c r="AB5">
        <v>3</v>
      </c>
      <c r="AC5">
        <v>0</v>
      </c>
      <c r="AD5">
        <v>1.5</v>
      </c>
      <c r="AE5">
        <v>1.5</v>
      </c>
      <c r="AF5">
        <v>1.5</v>
      </c>
      <c r="AG5">
        <v>1.5</v>
      </c>
      <c r="AH5">
        <v>0</v>
      </c>
      <c r="AI5">
        <v>1.5</v>
      </c>
      <c r="AJ5">
        <v>4.5</v>
      </c>
      <c r="AK5">
        <v>1.5</v>
      </c>
      <c r="AL5">
        <v>3</v>
      </c>
      <c r="AM5">
        <v>4.5</v>
      </c>
      <c r="AN5">
        <v>1.5</v>
      </c>
      <c r="AO5">
        <v>0</v>
      </c>
      <c r="AP5">
        <v>3</v>
      </c>
      <c r="AQ5">
        <v>3</v>
      </c>
      <c r="AR5">
        <v>10</v>
      </c>
      <c r="AS5">
        <v>1.5</v>
      </c>
      <c r="AT5">
        <v>1.5</v>
      </c>
      <c r="AU5">
        <v>0</v>
      </c>
      <c r="AV5">
        <v>3</v>
      </c>
      <c r="AW5">
        <v>0</v>
      </c>
      <c r="AX5">
        <v>10</v>
      </c>
      <c r="AY5">
        <v>10</v>
      </c>
      <c r="AZ5">
        <v>10</v>
      </c>
      <c r="BA5">
        <v>3</v>
      </c>
      <c r="BB5">
        <v>3</v>
      </c>
      <c r="BC5">
        <v>3</v>
      </c>
      <c r="BD5">
        <v>1.5</v>
      </c>
      <c r="BE5">
        <v>1.5</v>
      </c>
      <c r="BF5">
        <v>1.5</v>
      </c>
      <c r="BG5">
        <v>10</v>
      </c>
      <c r="BI5">
        <f t="shared" si="1"/>
        <v>1.5</v>
      </c>
      <c r="BJ5">
        <f t="shared" si="2"/>
        <v>0</v>
      </c>
      <c r="BK5">
        <f t="shared" si="3"/>
        <v>0</v>
      </c>
      <c r="BL5">
        <f t="shared" si="4"/>
        <v>10</v>
      </c>
      <c r="BM5">
        <f t="shared" si="5"/>
        <v>0</v>
      </c>
      <c r="BN5">
        <f t="shared" si="6"/>
        <v>0</v>
      </c>
      <c r="BO5">
        <f t="shared" si="7"/>
        <v>1.5</v>
      </c>
      <c r="BP5">
        <f t="shared" si="8"/>
        <v>0</v>
      </c>
      <c r="BQ5">
        <f t="shared" si="9"/>
        <v>10</v>
      </c>
      <c r="BR5">
        <f t="shared" si="10"/>
        <v>0</v>
      </c>
      <c r="BS5">
        <f t="shared" si="11"/>
        <v>0</v>
      </c>
      <c r="BT5">
        <f t="shared" si="12"/>
        <v>0</v>
      </c>
      <c r="BU5">
        <f t="shared" si="13"/>
        <v>0</v>
      </c>
      <c r="BV5">
        <f t="shared" si="14"/>
        <v>10</v>
      </c>
      <c r="BW5">
        <f t="shared" si="15"/>
        <v>4.5</v>
      </c>
      <c r="BX5">
        <f t="shared" si="16"/>
        <v>0</v>
      </c>
      <c r="BY5">
        <f t="shared" si="17"/>
        <v>1.5</v>
      </c>
      <c r="BZ5">
        <f t="shared" si="18"/>
        <v>0</v>
      </c>
      <c r="CA5">
        <f t="shared" si="19"/>
        <v>0</v>
      </c>
      <c r="CB5">
        <f t="shared" si="20"/>
        <v>1.5</v>
      </c>
      <c r="CC5">
        <f t="shared" si="21"/>
        <v>0</v>
      </c>
      <c r="CD5">
        <f t="shared" si="22"/>
        <v>0</v>
      </c>
      <c r="CE5">
        <f t="shared" si="23"/>
        <v>0</v>
      </c>
      <c r="CF5">
        <f t="shared" si="24"/>
        <v>0</v>
      </c>
      <c r="CG5">
        <f t="shared" si="25"/>
        <v>0</v>
      </c>
      <c r="CH5">
        <f t="shared" si="26"/>
        <v>0</v>
      </c>
      <c r="CI5">
        <f t="shared" si="27"/>
        <v>0</v>
      </c>
      <c r="CJ5">
        <f t="shared" si="28"/>
        <v>0</v>
      </c>
      <c r="CK5">
        <f t="shared" si="29"/>
        <v>0</v>
      </c>
      <c r="CL5">
        <f t="shared" si="30"/>
        <v>0</v>
      </c>
      <c r="CM5">
        <f t="shared" si="31"/>
        <v>0</v>
      </c>
      <c r="CN5">
        <f t="shared" si="32"/>
        <v>0</v>
      </c>
      <c r="CO5">
        <f t="shared" si="33"/>
        <v>0</v>
      </c>
      <c r="CP5">
        <f t="shared" si="34"/>
        <v>0</v>
      </c>
      <c r="CQ5">
        <f t="shared" si="35"/>
        <v>0</v>
      </c>
      <c r="CR5">
        <f t="shared" si="36"/>
        <v>0</v>
      </c>
      <c r="CS5">
        <f t="shared" si="37"/>
        <v>0</v>
      </c>
      <c r="CT5">
        <f t="shared" si="38"/>
        <v>0</v>
      </c>
      <c r="CU5">
        <f t="shared" si="39"/>
        <v>0</v>
      </c>
      <c r="CV5">
        <f t="shared" si="40"/>
        <v>0</v>
      </c>
      <c r="CW5">
        <f t="shared" si="41"/>
        <v>0</v>
      </c>
      <c r="CX5">
        <f t="shared" si="42"/>
        <v>10</v>
      </c>
      <c r="CY5">
        <f t="shared" si="43"/>
        <v>0</v>
      </c>
      <c r="CZ5">
        <f t="shared" si="44"/>
        <v>0</v>
      </c>
      <c r="DA5">
        <f t="shared" si="45"/>
        <v>0</v>
      </c>
      <c r="DB5">
        <f t="shared" si="46"/>
        <v>0</v>
      </c>
      <c r="DC5">
        <f t="shared" si="47"/>
        <v>0</v>
      </c>
      <c r="DD5">
        <f t="shared" si="48"/>
        <v>10</v>
      </c>
      <c r="DE5">
        <f t="shared" si="49"/>
        <v>0</v>
      </c>
      <c r="DF5">
        <f t="shared" si="50"/>
        <v>0</v>
      </c>
      <c r="DG5">
        <f t="shared" si="51"/>
        <v>3</v>
      </c>
      <c r="DH5">
        <f t="shared" si="52"/>
        <v>0</v>
      </c>
      <c r="DI5">
        <f t="shared" si="53"/>
        <v>0</v>
      </c>
      <c r="DJ5">
        <f t="shared" si="54"/>
        <v>0</v>
      </c>
      <c r="DK5">
        <f t="shared" si="55"/>
        <v>1.5</v>
      </c>
      <c r="DL5">
        <f t="shared" si="56"/>
        <v>0</v>
      </c>
      <c r="DM5">
        <f t="shared" si="57"/>
        <v>10</v>
      </c>
      <c r="DO5">
        <f t="shared" si="58"/>
        <v>75</v>
      </c>
    </row>
    <row r="6" spans="1:119" x14ac:dyDescent="0.35">
      <c r="A6" t="s">
        <v>26</v>
      </c>
      <c r="B6">
        <v>5</v>
      </c>
      <c r="C6" s="10">
        <v>3</v>
      </c>
      <c r="D6">
        <v>0</v>
      </c>
      <c r="E6">
        <v>0</v>
      </c>
      <c r="F6">
        <v>1.5</v>
      </c>
      <c r="G6">
        <v>10</v>
      </c>
      <c r="H6">
        <v>0</v>
      </c>
      <c r="I6">
        <v>1.5</v>
      </c>
      <c r="J6">
        <v>10</v>
      </c>
      <c r="K6">
        <v>1.5</v>
      </c>
      <c r="L6">
        <v>0</v>
      </c>
      <c r="M6">
        <v>1.5</v>
      </c>
      <c r="N6">
        <v>1.5</v>
      </c>
      <c r="O6">
        <v>0</v>
      </c>
      <c r="P6">
        <v>1.5</v>
      </c>
      <c r="Q6">
        <v>1.5</v>
      </c>
      <c r="R6">
        <v>1.5</v>
      </c>
      <c r="S6">
        <v>0</v>
      </c>
      <c r="T6">
        <v>10</v>
      </c>
      <c r="U6">
        <v>0</v>
      </c>
      <c r="V6">
        <v>3</v>
      </c>
      <c r="W6">
        <v>1.5</v>
      </c>
      <c r="X6">
        <v>0</v>
      </c>
      <c r="Y6">
        <v>1.5</v>
      </c>
      <c r="Z6">
        <v>0</v>
      </c>
      <c r="AA6">
        <v>1.5</v>
      </c>
      <c r="AB6">
        <v>0</v>
      </c>
      <c r="AC6">
        <v>3</v>
      </c>
      <c r="AD6">
        <v>3</v>
      </c>
      <c r="AE6">
        <v>0</v>
      </c>
      <c r="AF6">
        <v>0</v>
      </c>
      <c r="AG6">
        <v>0</v>
      </c>
      <c r="AH6">
        <v>1.5</v>
      </c>
      <c r="AI6">
        <v>10</v>
      </c>
      <c r="AJ6">
        <v>0</v>
      </c>
      <c r="AK6">
        <v>1.5</v>
      </c>
      <c r="AL6">
        <v>0</v>
      </c>
      <c r="AM6">
        <v>0</v>
      </c>
      <c r="AN6">
        <v>1.5</v>
      </c>
      <c r="AO6">
        <v>1.5</v>
      </c>
      <c r="AP6">
        <v>1.5</v>
      </c>
      <c r="AQ6">
        <v>0</v>
      </c>
      <c r="AR6">
        <v>3</v>
      </c>
      <c r="AS6">
        <v>0</v>
      </c>
      <c r="AT6">
        <v>1.5</v>
      </c>
      <c r="AU6">
        <v>1.5</v>
      </c>
      <c r="AV6">
        <v>0</v>
      </c>
      <c r="AW6">
        <v>1.5</v>
      </c>
      <c r="AX6">
        <v>1.5</v>
      </c>
      <c r="AY6">
        <v>1.5</v>
      </c>
      <c r="AZ6">
        <v>0</v>
      </c>
      <c r="BA6">
        <v>10</v>
      </c>
      <c r="BB6">
        <v>0</v>
      </c>
      <c r="BC6">
        <v>0</v>
      </c>
      <c r="BD6">
        <v>3</v>
      </c>
      <c r="BE6">
        <v>1.5</v>
      </c>
      <c r="BF6">
        <v>10</v>
      </c>
      <c r="BG6">
        <v>10</v>
      </c>
      <c r="BI6">
        <f t="shared" si="1"/>
        <v>3</v>
      </c>
      <c r="BJ6">
        <f t="shared" si="2"/>
        <v>0</v>
      </c>
      <c r="BK6">
        <f t="shared" si="3"/>
        <v>0</v>
      </c>
      <c r="BL6">
        <f t="shared" si="4"/>
        <v>1.5</v>
      </c>
      <c r="BM6">
        <f t="shared" si="5"/>
        <v>0</v>
      </c>
      <c r="BN6">
        <f t="shared" si="6"/>
        <v>0</v>
      </c>
      <c r="BO6">
        <f t="shared" si="7"/>
        <v>1.5</v>
      </c>
      <c r="BP6">
        <f t="shared" si="8"/>
        <v>10</v>
      </c>
      <c r="BQ6">
        <f t="shared" si="9"/>
        <v>1.5</v>
      </c>
      <c r="BR6">
        <f t="shared" si="10"/>
        <v>0</v>
      </c>
      <c r="BS6">
        <f t="shared" si="11"/>
        <v>0</v>
      </c>
      <c r="BT6">
        <f t="shared" si="12"/>
        <v>0</v>
      </c>
      <c r="BU6">
        <f t="shared" si="13"/>
        <v>0</v>
      </c>
      <c r="BV6">
        <f t="shared" si="14"/>
        <v>1.5</v>
      </c>
      <c r="BW6">
        <f t="shared" si="15"/>
        <v>1.5</v>
      </c>
      <c r="BX6">
        <f t="shared" si="16"/>
        <v>0</v>
      </c>
      <c r="BY6">
        <f t="shared" si="17"/>
        <v>0</v>
      </c>
      <c r="BZ6">
        <f t="shared" si="18"/>
        <v>10</v>
      </c>
      <c r="CA6">
        <f t="shared" si="19"/>
        <v>0</v>
      </c>
      <c r="CB6">
        <f t="shared" si="20"/>
        <v>3</v>
      </c>
      <c r="CC6">
        <f t="shared" si="21"/>
        <v>0</v>
      </c>
      <c r="CD6">
        <f t="shared" si="22"/>
        <v>0</v>
      </c>
      <c r="CE6">
        <f t="shared" si="23"/>
        <v>0</v>
      </c>
      <c r="CF6">
        <f t="shared" si="24"/>
        <v>0</v>
      </c>
      <c r="CG6">
        <f t="shared" si="25"/>
        <v>0</v>
      </c>
      <c r="CH6">
        <f t="shared" si="26"/>
        <v>0</v>
      </c>
      <c r="CI6">
        <f t="shared" si="27"/>
        <v>0</v>
      </c>
      <c r="CJ6">
        <f t="shared" si="28"/>
        <v>0</v>
      </c>
      <c r="CK6">
        <f t="shared" si="29"/>
        <v>0</v>
      </c>
      <c r="CL6">
        <f t="shared" si="30"/>
        <v>0</v>
      </c>
      <c r="CM6">
        <f t="shared" si="31"/>
        <v>0</v>
      </c>
      <c r="CN6">
        <f t="shared" si="32"/>
        <v>0</v>
      </c>
      <c r="CO6">
        <f t="shared" si="33"/>
        <v>0</v>
      </c>
      <c r="CP6">
        <f t="shared" si="34"/>
        <v>0</v>
      </c>
      <c r="CQ6">
        <f t="shared" si="35"/>
        <v>0</v>
      </c>
      <c r="CR6">
        <f t="shared" si="36"/>
        <v>0</v>
      </c>
      <c r="CS6">
        <f t="shared" si="37"/>
        <v>0</v>
      </c>
      <c r="CT6">
        <f t="shared" si="38"/>
        <v>0</v>
      </c>
      <c r="CU6">
        <f t="shared" si="39"/>
        <v>1.5</v>
      </c>
      <c r="CV6">
        <f t="shared" si="40"/>
        <v>0</v>
      </c>
      <c r="CW6">
        <f t="shared" si="41"/>
        <v>0</v>
      </c>
      <c r="CX6">
        <f t="shared" si="42"/>
        <v>3</v>
      </c>
      <c r="CY6">
        <f t="shared" si="43"/>
        <v>0</v>
      </c>
      <c r="CZ6">
        <f t="shared" si="44"/>
        <v>0</v>
      </c>
      <c r="DA6">
        <f t="shared" si="45"/>
        <v>0</v>
      </c>
      <c r="DB6">
        <f t="shared" si="46"/>
        <v>0</v>
      </c>
      <c r="DC6">
        <f t="shared" si="47"/>
        <v>0</v>
      </c>
      <c r="DD6">
        <f t="shared" si="48"/>
        <v>1.5</v>
      </c>
      <c r="DE6">
        <f t="shared" si="49"/>
        <v>0</v>
      </c>
      <c r="DF6">
        <f t="shared" si="50"/>
        <v>0</v>
      </c>
      <c r="DG6">
        <f t="shared" si="51"/>
        <v>10</v>
      </c>
      <c r="DH6">
        <f t="shared" si="52"/>
        <v>0</v>
      </c>
      <c r="DI6">
        <f t="shared" si="53"/>
        <v>0</v>
      </c>
      <c r="DJ6">
        <f t="shared" si="54"/>
        <v>0</v>
      </c>
      <c r="DK6">
        <f t="shared" si="55"/>
        <v>1.5</v>
      </c>
      <c r="DL6">
        <f t="shared" si="56"/>
        <v>0</v>
      </c>
      <c r="DM6">
        <f t="shared" si="57"/>
        <v>10</v>
      </c>
      <c r="DO6">
        <f t="shared" si="58"/>
        <v>61</v>
      </c>
    </row>
    <row r="7" spans="1:119" x14ac:dyDescent="0.35">
      <c r="A7" t="s">
        <v>27</v>
      </c>
      <c r="B7">
        <v>6</v>
      </c>
      <c r="C7" s="10">
        <v>1.5</v>
      </c>
      <c r="D7">
        <v>3</v>
      </c>
      <c r="E7">
        <v>10</v>
      </c>
      <c r="F7">
        <v>1.5</v>
      </c>
      <c r="G7">
        <v>0</v>
      </c>
      <c r="H7">
        <v>10</v>
      </c>
      <c r="I7">
        <v>3</v>
      </c>
      <c r="J7">
        <v>1.5</v>
      </c>
      <c r="K7">
        <v>1.5</v>
      </c>
      <c r="L7">
        <v>1.5</v>
      </c>
      <c r="M7">
        <v>3</v>
      </c>
      <c r="N7">
        <v>0</v>
      </c>
      <c r="O7">
        <v>3</v>
      </c>
      <c r="P7">
        <v>1.5</v>
      </c>
      <c r="Q7">
        <v>6</v>
      </c>
      <c r="R7">
        <v>3</v>
      </c>
      <c r="S7">
        <v>3</v>
      </c>
      <c r="T7">
        <v>1.5</v>
      </c>
      <c r="U7">
        <v>1.5</v>
      </c>
      <c r="V7">
        <v>1.5</v>
      </c>
      <c r="W7">
        <v>3</v>
      </c>
      <c r="X7">
        <v>10</v>
      </c>
      <c r="Y7">
        <v>1.5</v>
      </c>
      <c r="Z7">
        <v>10</v>
      </c>
      <c r="AA7">
        <v>0</v>
      </c>
      <c r="AB7">
        <v>1.5</v>
      </c>
      <c r="AC7">
        <v>0</v>
      </c>
      <c r="AD7">
        <v>0</v>
      </c>
      <c r="AE7">
        <v>1.5</v>
      </c>
      <c r="AF7">
        <v>0</v>
      </c>
      <c r="AG7">
        <v>4.5</v>
      </c>
      <c r="AH7">
        <v>10</v>
      </c>
      <c r="AI7">
        <v>1.5</v>
      </c>
      <c r="AJ7">
        <v>4.5</v>
      </c>
      <c r="AK7">
        <v>0</v>
      </c>
      <c r="AL7">
        <v>10</v>
      </c>
      <c r="AM7">
        <v>3</v>
      </c>
      <c r="AN7">
        <v>1.5</v>
      </c>
      <c r="AO7">
        <v>3</v>
      </c>
      <c r="AP7">
        <v>10</v>
      </c>
      <c r="AQ7">
        <v>1.5</v>
      </c>
      <c r="AR7">
        <v>1.5</v>
      </c>
      <c r="AS7">
        <v>3</v>
      </c>
      <c r="AT7">
        <v>0</v>
      </c>
      <c r="AU7">
        <v>0</v>
      </c>
      <c r="AV7">
        <v>1.5</v>
      </c>
      <c r="AW7">
        <v>0</v>
      </c>
      <c r="AX7">
        <v>3</v>
      </c>
      <c r="AY7">
        <v>1.5</v>
      </c>
      <c r="AZ7">
        <v>3</v>
      </c>
      <c r="BA7">
        <v>0</v>
      </c>
      <c r="BB7">
        <v>10</v>
      </c>
      <c r="BC7">
        <v>10</v>
      </c>
      <c r="BD7">
        <v>3</v>
      </c>
      <c r="BE7">
        <v>10</v>
      </c>
      <c r="BF7">
        <v>0</v>
      </c>
      <c r="BG7">
        <v>0</v>
      </c>
      <c r="BI7">
        <f t="shared" si="1"/>
        <v>1.5</v>
      </c>
      <c r="BJ7">
        <f t="shared" si="2"/>
        <v>0</v>
      </c>
      <c r="BK7">
        <f t="shared" si="3"/>
        <v>0</v>
      </c>
      <c r="BL7">
        <f t="shared" si="4"/>
        <v>1.5</v>
      </c>
      <c r="BM7">
        <f t="shared" si="5"/>
        <v>0</v>
      </c>
      <c r="BN7">
        <f t="shared" si="6"/>
        <v>0</v>
      </c>
      <c r="BO7">
        <f t="shared" si="7"/>
        <v>3</v>
      </c>
      <c r="BP7">
        <f t="shared" si="8"/>
        <v>1.5</v>
      </c>
      <c r="BQ7">
        <f t="shared" si="9"/>
        <v>1.5</v>
      </c>
      <c r="BR7">
        <f t="shared" si="10"/>
        <v>0</v>
      </c>
      <c r="BS7">
        <f t="shared" si="11"/>
        <v>0</v>
      </c>
      <c r="BT7">
        <f t="shared" si="12"/>
        <v>0</v>
      </c>
      <c r="BU7">
        <f t="shared" si="13"/>
        <v>0</v>
      </c>
      <c r="BV7">
        <f t="shared" si="14"/>
        <v>1.5</v>
      </c>
      <c r="BW7">
        <f t="shared" si="15"/>
        <v>6</v>
      </c>
      <c r="BX7">
        <f t="shared" si="16"/>
        <v>0</v>
      </c>
      <c r="BY7">
        <f t="shared" si="17"/>
        <v>3</v>
      </c>
      <c r="BZ7">
        <f t="shared" si="18"/>
        <v>1.5</v>
      </c>
      <c r="CA7">
        <f t="shared" si="19"/>
        <v>0</v>
      </c>
      <c r="CB7">
        <f t="shared" si="20"/>
        <v>1.5</v>
      </c>
      <c r="CC7">
        <f t="shared" si="21"/>
        <v>0</v>
      </c>
      <c r="CD7">
        <f t="shared" si="22"/>
        <v>0</v>
      </c>
      <c r="CE7">
        <f t="shared" si="23"/>
        <v>0</v>
      </c>
      <c r="CF7">
        <f t="shared" si="24"/>
        <v>0</v>
      </c>
      <c r="CG7">
        <f t="shared" si="25"/>
        <v>0</v>
      </c>
      <c r="CH7">
        <f t="shared" si="26"/>
        <v>0</v>
      </c>
      <c r="CI7">
        <f t="shared" si="27"/>
        <v>0</v>
      </c>
      <c r="CJ7">
        <f t="shared" si="28"/>
        <v>0</v>
      </c>
      <c r="CK7">
        <f t="shared" si="29"/>
        <v>0</v>
      </c>
      <c r="CL7">
        <f t="shared" si="30"/>
        <v>0</v>
      </c>
      <c r="CM7">
        <f t="shared" si="31"/>
        <v>0</v>
      </c>
      <c r="CN7">
        <f t="shared" si="32"/>
        <v>0</v>
      </c>
      <c r="CO7">
        <f t="shared" si="33"/>
        <v>0</v>
      </c>
      <c r="CP7">
        <f t="shared" si="34"/>
        <v>0</v>
      </c>
      <c r="CQ7">
        <f t="shared" si="35"/>
        <v>0</v>
      </c>
      <c r="CR7">
        <f t="shared" si="36"/>
        <v>0</v>
      </c>
      <c r="CS7">
        <f t="shared" si="37"/>
        <v>0</v>
      </c>
      <c r="CT7">
        <f t="shared" si="38"/>
        <v>0</v>
      </c>
      <c r="CU7">
        <f t="shared" si="39"/>
        <v>3</v>
      </c>
      <c r="CV7">
        <f t="shared" si="40"/>
        <v>0</v>
      </c>
      <c r="CW7">
        <f t="shared" si="41"/>
        <v>0</v>
      </c>
      <c r="CX7">
        <f t="shared" si="42"/>
        <v>1.5</v>
      </c>
      <c r="CY7">
        <f t="shared" si="43"/>
        <v>0</v>
      </c>
      <c r="CZ7">
        <f t="shared" si="44"/>
        <v>0</v>
      </c>
      <c r="DA7">
        <f t="shared" si="45"/>
        <v>0</v>
      </c>
      <c r="DB7">
        <f t="shared" si="46"/>
        <v>0</v>
      </c>
      <c r="DC7">
        <f t="shared" si="47"/>
        <v>0</v>
      </c>
      <c r="DD7">
        <f t="shared" si="48"/>
        <v>3</v>
      </c>
      <c r="DE7">
        <f t="shared" si="49"/>
        <v>0</v>
      </c>
      <c r="DF7">
        <f t="shared" si="50"/>
        <v>0</v>
      </c>
      <c r="DG7">
        <f t="shared" si="51"/>
        <v>0</v>
      </c>
      <c r="DH7">
        <f t="shared" si="52"/>
        <v>0</v>
      </c>
      <c r="DI7">
        <f t="shared" si="53"/>
        <v>0</v>
      </c>
      <c r="DJ7">
        <f t="shared" si="54"/>
        <v>0</v>
      </c>
      <c r="DK7">
        <f t="shared" si="55"/>
        <v>10</v>
      </c>
      <c r="DL7">
        <f t="shared" si="56"/>
        <v>0</v>
      </c>
      <c r="DM7">
        <f t="shared" si="57"/>
        <v>0</v>
      </c>
      <c r="DO7">
        <f t="shared" si="58"/>
        <v>40</v>
      </c>
    </row>
    <row r="8" spans="1:119" x14ac:dyDescent="0.35">
      <c r="A8" t="s">
        <v>28</v>
      </c>
      <c r="B8">
        <v>7</v>
      </c>
      <c r="C8" s="10">
        <v>10</v>
      </c>
      <c r="D8">
        <v>3</v>
      </c>
      <c r="E8">
        <v>3</v>
      </c>
      <c r="F8">
        <v>1.5</v>
      </c>
      <c r="G8">
        <v>1.5</v>
      </c>
      <c r="H8">
        <v>3</v>
      </c>
      <c r="I8">
        <v>10</v>
      </c>
      <c r="J8">
        <v>1.5</v>
      </c>
      <c r="K8">
        <v>3</v>
      </c>
      <c r="L8">
        <v>3</v>
      </c>
      <c r="M8">
        <v>1.5</v>
      </c>
      <c r="N8">
        <v>0</v>
      </c>
      <c r="O8">
        <v>10</v>
      </c>
      <c r="P8">
        <v>0</v>
      </c>
      <c r="Q8">
        <v>10</v>
      </c>
      <c r="R8">
        <v>0</v>
      </c>
      <c r="S8">
        <v>3</v>
      </c>
      <c r="T8">
        <v>10</v>
      </c>
      <c r="U8">
        <v>1.5</v>
      </c>
      <c r="V8">
        <v>10</v>
      </c>
      <c r="W8">
        <v>3</v>
      </c>
      <c r="X8">
        <v>3</v>
      </c>
      <c r="Y8">
        <v>1.5</v>
      </c>
      <c r="Z8">
        <v>4.5</v>
      </c>
      <c r="AA8">
        <v>4.5</v>
      </c>
      <c r="AB8">
        <v>3</v>
      </c>
      <c r="AC8">
        <v>0</v>
      </c>
      <c r="AD8">
        <v>3</v>
      </c>
      <c r="AE8">
        <v>10</v>
      </c>
      <c r="AF8">
        <v>1.5</v>
      </c>
      <c r="AG8">
        <v>4.5</v>
      </c>
      <c r="AH8">
        <v>1.5</v>
      </c>
      <c r="AI8">
        <v>1.5</v>
      </c>
      <c r="AJ8">
        <v>3</v>
      </c>
      <c r="AK8">
        <v>1.5</v>
      </c>
      <c r="AL8">
        <v>3</v>
      </c>
      <c r="AM8">
        <v>1.5</v>
      </c>
      <c r="AN8">
        <v>4.5</v>
      </c>
      <c r="AO8">
        <v>10</v>
      </c>
      <c r="AP8">
        <v>3</v>
      </c>
      <c r="AQ8">
        <v>3</v>
      </c>
      <c r="AR8">
        <v>0</v>
      </c>
      <c r="AS8">
        <v>1.5</v>
      </c>
      <c r="AT8">
        <v>3</v>
      </c>
      <c r="AU8">
        <v>0</v>
      </c>
      <c r="AV8">
        <v>10</v>
      </c>
      <c r="AW8">
        <v>1.5</v>
      </c>
      <c r="AX8">
        <v>3</v>
      </c>
      <c r="AY8">
        <v>4.5</v>
      </c>
      <c r="AZ8">
        <v>10</v>
      </c>
      <c r="BA8">
        <v>3</v>
      </c>
      <c r="BB8">
        <v>10</v>
      </c>
      <c r="BC8">
        <v>1.5</v>
      </c>
      <c r="BD8">
        <v>0</v>
      </c>
      <c r="BE8">
        <v>10</v>
      </c>
      <c r="BF8">
        <v>0</v>
      </c>
      <c r="BG8">
        <v>0</v>
      </c>
      <c r="BI8">
        <f t="shared" si="1"/>
        <v>10</v>
      </c>
      <c r="BJ8">
        <f t="shared" si="2"/>
        <v>0</v>
      </c>
      <c r="BK8">
        <f t="shared" si="3"/>
        <v>0</v>
      </c>
      <c r="BL8">
        <f t="shared" si="4"/>
        <v>1.5</v>
      </c>
      <c r="BM8">
        <f t="shared" si="5"/>
        <v>0</v>
      </c>
      <c r="BN8">
        <f t="shared" si="6"/>
        <v>0</v>
      </c>
      <c r="BO8">
        <f t="shared" si="7"/>
        <v>10</v>
      </c>
      <c r="BP8">
        <f t="shared" si="8"/>
        <v>1.5</v>
      </c>
      <c r="BQ8">
        <f t="shared" si="9"/>
        <v>3</v>
      </c>
      <c r="BR8">
        <f t="shared" si="10"/>
        <v>0</v>
      </c>
      <c r="BS8">
        <f t="shared" si="11"/>
        <v>0</v>
      </c>
      <c r="BT8">
        <f t="shared" si="12"/>
        <v>0</v>
      </c>
      <c r="BU8">
        <f t="shared" si="13"/>
        <v>0</v>
      </c>
      <c r="BV8">
        <f t="shared" si="14"/>
        <v>0</v>
      </c>
      <c r="BW8">
        <f t="shared" si="15"/>
        <v>10</v>
      </c>
      <c r="BX8">
        <f t="shared" si="16"/>
        <v>0</v>
      </c>
      <c r="BY8">
        <f t="shared" si="17"/>
        <v>3</v>
      </c>
      <c r="BZ8">
        <f t="shared" si="18"/>
        <v>10</v>
      </c>
      <c r="CA8">
        <f t="shared" si="19"/>
        <v>0</v>
      </c>
      <c r="CB8">
        <f t="shared" si="20"/>
        <v>10</v>
      </c>
      <c r="CC8">
        <f t="shared" si="21"/>
        <v>0</v>
      </c>
      <c r="CD8">
        <f t="shared" si="22"/>
        <v>0</v>
      </c>
      <c r="CE8">
        <f t="shared" si="23"/>
        <v>0</v>
      </c>
      <c r="CF8">
        <f t="shared" si="24"/>
        <v>0</v>
      </c>
      <c r="CG8">
        <f t="shared" si="25"/>
        <v>0</v>
      </c>
      <c r="CH8">
        <f t="shared" si="26"/>
        <v>0</v>
      </c>
      <c r="CI8">
        <f t="shared" si="27"/>
        <v>0</v>
      </c>
      <c r="CJ8">
        <f t="shared" si="28"/>
        <v>0</v>
      </c>
      <c r="CK8">
        <f t="shared" si="29"/>
        <v>0</v>
      </c>
      <c r="CL8">
        <f t="shared" si="30"/>
        <v>0</v>
      </c>
      <c r="CM8">
        <f t="shared" si="31"/>
        <v>0</v>
      </c>
      <c r="CN8">
        <f t="shared" si="32"/>
        <v>0</v>
      </c>
      <c r="CO8">
        <f t="shared" si="33"/>
        <v>0</v>
      </c>
      <c r="CP8">
        <f t="shared" si="34"/>
        <v>0</v>
      </c>
      <c r="CQ8">
        <f t="shared" si="35"/>
        <v>0</v>
      </c>
      <c r="CR8">
        <f t="shared" si="36"/>
        <v>0</v>
      </c>
      <c r="CS8">
        <f t="shared" si="37"/>
        <v>0</v>
      </c>
      <c r="CT8">
        <f t="shared" si="38"/>
        <v>0</v>
      </c>
      <c r="CU8">
        <f t="shared" si="39"/>
        <v>10</v>
      </c>
      <c r="CV8">
        <f t="shared" si="40"/>
        <v>0</v>
      </c>
      <c r="CW8">
        <f t="shared" si="41"/>
        <v>0</v>
      </c>
      <c r="CX8">
        <f t="shared" si="42"/>
        <v>0</v>
      </c>
      <c r="CY8">
        <f t="shared" si="43"/>
        <v>0</v>
      </c>
      <c r="CZ8">
        <f t="shared" si="44"/>
        <v>0</v>
      </c>
      <c r="DA8">
        <f t="shared" si="45"/>
        <v>0</v>
      </c>
      <c r="DB8">
        <f t="shared" si="46"/>
        <v>0</v>
      </c>
      <c r="DC8">
        <f t="shared" si="47"/>
        <v>0</v>
      </c>
      <c r="DD8">
        <f t="shared" si="48"/>
        <v>3</v>
      </c>
      <c r="DE8">
        <f t="shared" si="49"/>
        <v>0</v>
      </c>
      <c r="DF8">
        <f t="shared" si="50"/>
        <v>0</v>
      </c>
      <c r="DG8">
        <f t="shared" si="51"/>
        <v>3</v>
      </c>
      <c r="DH8">
        <f t="shared" si="52"/>
        <v>0</v>
      </c>
      <c r="DI8">
        <f t="shared" si="53"/>
        <v>0</v>
      </c>
      <c r="DJ8">
        <f t="shared" si="54"/>
        <v>0</v>
      </c>
      <c r="DK8">
        <f t="shared" si="55"/>
        <v>10</v>
      </c>
      <c r="DL8">
        <f t="shared" si="56"/>
        <v>0</v>
      </c>
      <c r="DM8">
        <f t="shared" si="57"/>
        <v>0</v>
      </c>
      <c r="DO8">
        <f t="shared" si="58"/>
        <v>85</v>
      </c>
    </row>
    <row r="9" spans="1:119" x14ac:dyDescent="0.35">
      <c r="A9" t="s">
        <v>68</v>
      </c>
      <c r="B9">
        <v>8</v>
      </c>
      <c r="C9" s="10">
        <v>3</v>
      </c>
      <c r="D9">
        <v>0</v>
      </c>
      <c r="E9">
        <v>0</v>
      </c>
      <c r="F9">
        <v>0</v>
      </c>
      <c r="G9">
        <v>10</v>
      </c>
      <c r="H9">
        <v>1.5</v>
      </c>
      <c r="I9">
        <v>1.5</v>
      </c>
      <c r="J9">
        <v>10</v>
      </c>
      <c r="K9">
        <v>0</v>
      </c>
      <c r="L9">
        <v>0</v>
      </c>
      <c r="M9">
        <v>3</v>
      </c>
      <c r="N9">
        <v>10</v>
      </c>
      <c r="O9">
        <v>0</v>
      </c>
      <c r="P9">
        <v>1.5</v>
      </c>
      <c r="Q9">
        <v>1.5</v>
      </c>
      <c r="R9">
        <v>10</v>
      </c>
      <c r="S9">
        <v>0</v>
      </c>
      <c r="T9">
        <v>10</v>
      </c>
      <c r="U9">
        <v>1.5</v>
      </c>
      <c r="V9">
        <v>3</v>
      </c>
      <c r="W9">
        <v>1.5</v>
      </c>
      <c r="X9">
        <v>1.5</v>
      </c>
      <c r="Y9">
        <v>1.5</v>
      </c>
      <c r="Z9">
        <v>0</v>
      </c>
      <c r="AA9">
        <v>1.5</v>
      </c>
      <c r="AB9">
        <v>0</v>
      </c>
      <c r="AC9">
        <v>10</v>
      </c>
      <c r="AD9">
        <v>10</v>
      </c>
      <c r="AE9">
        <v>0</v>
      </c>
      <c r="AF9">
        <v>0</v>
      </c>
      <c r="AG9">
        <v>0</v>
      </c>
      <c r="AH9">
        <v>10</v>
      </c>
      <c r="AI9">
        <v>10</v>
      </c>
      <c r="AJ9">
        <v>0</v>
      </c>
      <c r="AK9">
        <v>1.5</v>
      </c>
      <c r="AL9">
        <v>1.5</v>
      </c>
      <c r="AM9">
        <v>1.5</v>
      </c>
      <c r="AN9">
        <v>1.5</v>
      </c>
      <c r="AO9">
        <v>1.5</v>
      </c>
      <c r="AP9">
        <v>3</v>
      </c>
      <c r="AQ9">
        <v>0</v>
      </c>
      <c r="AR9">
        <v>3</v>
      </c>
      <c r="AS9">
        <v>1.5</v>
      </c>
      <c r="AT9">
        <v>3</v>
      </c>
      <c r="AU9">
        <v>3</v>
      </c>
      <c r="AV9">
        <v>0</v>
      </c>
      <c r="AW9">
        <v>1.5</v>
      </c>
      <c r="AX9">
        <v>0</v>
      </c>
      <c r="AY9">
        <v>1.5</v>
      </c>
      <c r="AZ9">
        <v>0</v>
      </c>
      <c r="BA9">
        <v>3</v>
      </c>
      <c r="BB9">
        <v>1.5</v>
      </c>
      <c r="BC9">
        <v>1.5</v>
      </c>
      <c r="BD9">
        <v>10</v>
      </c>
      <c r="BE9">
        <v>1.5</v>
      </c>
      <c r="BF9">
        <v>3</v>
      </c>
      <c r="BG9">
        <v>1.5</v>
      </c>
      <c r="BI9">
        <f t="shared" si="1"/>
        <v>3</v>
      </c>
      <c r="BJ9">
        <f t="shared" si="2"/>
        <v>0</v>
      </c>
      <c r="BK9">
        <f t="shared" si="3"/>
        <v>0</v>
      </c>
      <c r="BL9">
        <f t="shared" si="4"/>
        <v>0</v>
      </c>
      <c r="BM9">
        <f t="shared" si="5"/>
        <v>0</v>
      </c>
      <c r="BN9">
        <f t="shared" si="6"/>
        <v>0</v>
      </c>
      <c r="BO9">
        <f t="shared" si="7"/>
        <v>1.5</v>
      </c>
      <c r="BP9">
        <f t="shared" si="8"/>
        <v>10</v>
      </c>
      <c r="BQ9">
        <f t="shared" si="9"/>
        <v>0</v>
      </c>
      <c r="BR9">
        <f t="shared" si="10"/>
        <v>0</v>
      </c>
      <c r="BS9">
        <f t="shared" si="11"/>
        <v>0</v>
      </c>
      <c r="BT9">
        <f t="shared" si="12"/>
        <v>0</v>
      </c>
      <c r="BU9">
        <f t="shared" si="13"/>
        <v>0</v>
      </c>
      <c r="BV9">
        <f t="shared" si="14"/>
        <v>1.5</v>
      </c>
      <c r="BW9">
        <f t="shared" si="15"/>
        <v>1.5</v>
      </c>
      <c r="BX9">
        <f t="shared" si="16"/>
        <v>0</v>
      </c>
      <c r="BY9">
        <f t="shared" si="17"/>
        <v>0</v>
      </c>
      <c r="BZ9">
        <f t="shared" si="18"/>
        <v>10</v>
      </c>
      <c r="CA9">
        <f t="shared" si="19"/>
        <v>0</v>
      </c>
      <c r="CB9">
        <f t="shared" si="20"/>
        <v>3</v>
      </c>
      <c r="CC9">
        <f t="shared" si="21"/>
        <v>0</v>
      </c>
      <c r="CD9">
        <f t="shared" si="22"/>
        <v>0</v>
      </c>
      <c r="CE9">
        <f t="shared" si="23"/>
        <v>0</v>
      </c>
      <c r="CF9">
        <f t="shared" si="24"/>
        <v>0</v>
      </c>
      <c r="CG9">
        <f t="shared" si="25"/>
        <v>0</v>
      </c>
      <c r="CH9">
        <f t="shared" si="26"/>
        <v>0</v>
      </c>
      <c r="CI9">
        <f t="shared" si="27"/>
        <v>0</v>
      </c>
      <c r="CJ9">
        <f t="shared" si="28"/>
        <v>0</v>
      </c>
      <c r="CK9">
        <f t="shared" si="29"/>
        <v>0</v>
      </c>
      <c r="CL9">
        <f t="shared" si="30"/>
        <v>0</v>
      </c>
      <c r="CM9">
        <f t="shared" si="31"/>
        <v>0</v>
      </c>
      <c r="CN9">
        <f t="shared" si="32"/>
        <v>0</v>
      </c>
      <c r="CO9">
        <f t="shared" si="33"/>
        <v>0</v>
      </c>
      <c r="CP9">
        <f t="shared" si="34"/>
        <v>0</v>
      </c>
      <c r="CQ9">
        <f t="shared" si="35"/>
        <v>0</v>
      </c>
      <c r="CR9">
        <f t="shared" si="36"/>
        <v>0</v>
      </c>
      <c r="CS9">
        <f t="shared" si="37"/>
        <v>0</v>
      </c>
      <c r="CT9">
        <f t="shared" si="38"/>
        <v>0</v>
      </c>
      <c r="CU9">
        <f t="shared" si="39"/>
        <v>1.5</v>
      </c>
      <c r="CV9">
        <f t="shared" si="40"/>
        <v>0</v>
      </c>
      <c r="CW9">
        <f t="shared" si="41"/>
        <v>0</v>
      </c>
      <c r="CX9">
        <f t="shared" si="42"/>
        <v>3</v>
      </c>
      <c r="CY9">
        <f t="shared" si="43"/>
        <v>0</v>
      </c>
      <c r="CZ9">
        <f t="shared" si="44"/>
        <v>0</v>
      </c>
      <c r="DA9">
        <f t="shared" si="45"/>
        <v>0</v>
      </c>
      <c r="DB9">
        <f t="shared" si="46"/>
        <v>0</v>
      </c>
      <c r="DC9">
        <f t="shared" si="47"/>
        <v>0</v>
      </c>
      <c r="DD9">
        <f t="shared" si="48"/>
        <v>0</v>
      </c>
      <c r="DE9">
        <f t="shared" si="49"/>
        <v>0</v>
      </c>
      <c r="DF9">
        <f t="shared" si="50"/>
        <v>0</v>
      </c>
      <c r="DG9">
        <f t="shared" si="51"/>
        <v>3</v>
      </c>
      <c r="DH9">
        <f t="shared" si="52"/>
        <v>0</v>
      </c>
      <c r="DI9">
        <f t="shared" si="53"/>
        <v>0</v>
      </c>
      <c r="DJ9">
        <f t="shared" si="54"/>
        <v>0</v>
      </c>
      <c r="DK9">
        <f t="shared" si="55"/>
        <v>1.5</v>
      </c>
      <c r="DL9">
        <f t="shared" si="56"/>
        <v>0</v>
      </c>
      <c r="DM9">
        <f t="shared" si="57"/>
        <v>1.5</v>
      </c>
      <c r="DO9">
        <f t="shared" si="58"/>
        <v>41</v>
      </c>
    </row>
    <row r="10" spans="1:119" x14ac:dyDescent="0.35">
      <c r="A10" t="s">
        <v>74</v>
      </c>
      <c r="B10">
        <v>9</v>
      </c>
      <c r="C10" s="10">
        <v>3</v>
      </c>
      <c r="D10">
        <v>10</v>
      </c>
      <c r="E10">
        <v>3</v>
      </c>
      <c r="F10">
        <v>10</v>
      </c>
      <c r="G10">
        <v>1.5</v>
      </c>
      <c r="H10">
        <v>1.5</v>
      </c>
      <c r="I10">
        <v>3</v>
      </c>
      <c r="J10">
        <v>0</v>
      </c>
      <c r="K10">
        <v>10</v>
      </c>
      <c r="L10">
        <v>10</v>
      </c>
      <c r="M10">
        <v>3</v>
      </c>
      <c r="N10">
        <v>0</v>
      </c>
      <c r="O10">
        <v>1.5</v>
      </c>
      <c r="P10">
        <v>10</v>
      </c>
      <c r="Q10">
        <v>10</v>
      </c>
      <c r="R10">
        <v>3</v>
      </c>
      <c r="S10">
        <v>6</v>
      </c>
      <c r="T10">
        <v>1.5</v>
      </c>
      <c r="U10">
        <v>1.5</v>
      </c>
      <c r="V10">
        <v>3</v>
      </c>
      <c r="W10">
        <v>6</v>
      </c>
      <c r="X10">
        <v>3</v>
      </c>
      <c r="Y10">
        <v>1.5</v>
      </c>
      <c r="Z10">
        <v>4.5</v>
      </c>
      <c r="AA10">
        <v>10</v>
      </c>
      <c r="AB10">
        <v>10</v>
      </c>
      <c r="AC10">
        <v>1.5</v>
      </c>
      <c r="AD10">
        <v>1.5</v>
      </c>
      <c r="AE10">
        <v>4.5</v>
      </c>
      <c r="AF10">
        <v>10</v>
      </c>
      <c r="AG10">
        <v>6</v>
      </c>
      <c r="AH10">
        <v>1.5</v>
      </c>
      <c r="AI10">
        <v>1.5</v>
      </c>
      <c r="AJ10">
        <v>10</v>
      </c>
      <c r="AK10">
        <v>10</v>
      </c>
      <c r="AL10">
        <v>10</v>
      </c>
      <c r="AM10">
        <v>10</v>
      </c>
      <c r="AN10">
        <v>3</v>
      </c>
      <c r="AO10">
        <v>3</v>
      </c>
      <c r="AP10">
        <v>1.5</v>
      </c>
      <c r="AQ10">
        <v>10</v>
      </c>
      <c r="AR10">
        <v>10</v>
      </c>
      <c r="AS10">
        <v>4.5</v>
      </c>
      <c r="AT10">
        <v>1.5</v>
      </c>
      <c r="AU10">
        <v>1.5</v>
      </c>
      <c r="AV10">
        <v>10</v>
      </c>
      <c r="AW10">
        <v>4.5</v>
      </c>
      <c r="AX10">
        <v>10</v>
      </c>
      <c r="AY10">
        <v>4.5</v>
      </c>
      <c r="AZ10">
        <v>4.5</v>
      </c>
      <c r="BA10">
        <v>3</v>
      </c>
      <c r="BB10">
        <v>7.5</v>
      </c>
      <c r="BC10">
        <v>3</v>
      </c>
      <c r="BD10">
        <v>1.5</v>
      </c>
      <c r="BE10">
        <v>1.5</v>
      </c>
      <c r="BF10">
        <v>3</v>
      </c>
      <c r="BG10">
        <v>10</v>
      </c>
      <c r="BI10">
        <f t="shared" si="1"/>
        <v>3</v>
      </c>
      <c r="BJ10">
        <f t="shared" si="2"/>
        <v>0</v>
      </c>
      <c r="BK10">
        <f t="shared" si="3"/>
        <v>0</v>
      </c>
      <c r="BL10">
        <f t="shared" si="4"/>
        <v>10</v>
      </c>
      <c r="BM10">
        <f t="shared" si="5"/>
        <v>0</v>
      </c>
      <c r="BN10">
        <f t="shared" si="6"/>
        <v>0</v>
      </c>
      <c r="BO10">
        <f t="shared" si="7"/>
        <v>3</v>
      </c>
      <c r="BP10">
        <f t="shared" si="8"/>
        <v>0</v>
      </c>
      <c r="BQ10">
        <f t="shared" si="9"/>
        <v>10</v>
      </c>
      <c r="BR10">
        <f t="shared" si="10"/>
        <v>0</v>
      </c>
      <c r="BS10">
        <f t="shared" si="11"/>
        <v>0</v>
      </c>
      <c r="BT10">
        <f t="shared" si="12"/>
        <v>0</v>
      </c>
      <c r="BU10">
        <f t="shared" si="13"/>
        <v>0</v>
      </c>
      <c r="BV10">
        <f t="shared" si="14"/>
        <v>10</v>
      </c>
      <c r="BW10">
        <f t="shared" si="15"/>
        <v>10</v>
      </c>
      <c r="BX10">
        <f t="shared" si="16"/>
        <v>0</v>
      </c>
      <c r="BY10">
        <f t="shared" si="17"/>
        <v>6</v>
      </c>
      <c r="BZ10">
        <f t="shared" si="18"/>
        <v>1.5</v>
      </c>
      <c r="CA10">
        <f t="shared" si="19"/>
        <v>0</v>
      </c>
      <c r="CB10">
        <f t="shared" si="20"/>
        <v>3</v>
      </c>
      <c r="CC10">
        <f t="shared" si="21"/>
        <v>0</v>
      </c>
      <c r="CD10">
        <f t="shared" si="22"/>
        <v>0</v>
      </c>
      <c r="CE10">
        <f t="shared" si="23"/>
        <v>0</v>
      </c>
      <c r="CF10">
        <f t="shared" si="24"/>
        <v>0</v>
      </c>
      <c r="CG10">
        <f t="shared" si="25"/>
        <v>0</v>
      </c>
      <c r="CH10">
        <f t="shared" si="26"/>
        <v>0</v>
      </c>
      <c r="CI10">
        <f t="shared" si="27"/>
        <v>0</v>
      </c>
      <c r="CJ10">
        <f t="shared" si="28"/>
        <v>0</v>
      </c>
      <c r="CK10">
        <f t="shared" si="29"/>
        <v>0</v>
      </c>
      <c r="CL10">
        <f t="shared" si="30"/>
        <v>0</v>
      </c>
      <c r="CM10">
        <f t="shared" si="31"/>
        <v>0</v>
      </c>
      <c r="CN10">
        <f t="shared" si="32"/>
        <v>0</v>
      </c>
      <c r="CO10">
        <f t="shared" si="33"/>
        <v>0</v>
      </c>
      <c r="CP10">
        <f t="shared" si="34"/>
        <v>0</v>
      </c>
      <c r="CQ10">
        <f t="shared" si="35"/>
        <v>0</v>
      </c>
      <c r="CR10">
        <f t="shared" si="36"/>
        <v>0</v>
      </c>
      <c r="CS10">
        <f t="shared" si="37"/>
        <v>0</v>
      </c>
      <c r="CT10">
        <f t="shared" si="38"/>
        <v>0</v>
      </c>
      <c r="CU10">
        <f t="shared" si="39"/>
        <v>3</v>
      </c>
      <c r="CV10">
        <f t="shared" si="40"/>
        <v>0</v>
      </c>
      <c r="CW10">
        <f t="shared" si="41"/>
        <v>0</v>
      </c>
      <c r="CX10">
        <f t="shared" si="42"/>
        <v>10</v>
      </c>
      <c r="CY10">
        <f t="shared" si="43"/>
        <v>0</v>
      </c>
      <c r="CZ10">
        <f t="shared" si="44"/>
        <v>0</v>
      </c>
      <c r="DA10">
        <f t="shared" si="45"/>
        <v>0</v>
      </c>
      <c r="DB10">
        <f t="shared" si="46"/>
        <v>0</v>
      </c>
      <c r="DC10">
        <f t="shared" si="47"/>
        <v>0</v>
      </c>
      <c r="DD10">
        <f t="shared" si="48"/>
        <v>10</v>
      </c>
      <c r="DE10">
        <f t="shared" si="49"/>
        <v>0</v>
      </c>
      <c r="DF10">
        <f t="shared" si="50"/>
        <v>0</v>
      </c>
      <c r="DG10">
        <f t="shared" si="51"/>
        <v>3</v>
      </c>
      <c r="DH10">
        <f t="shared" si="52"/>
        <v>0</v>
      </c>
      <c r="DI10">
        <f t="shared" si="53"/>
        <v>0</v>
      </c>
      <c r="DJ10">
        <f t="shared" si="54"/>
        <v>0</v>
      </c>
      <c r="DK10">
        <f t="shared" si="55"/>
        <v>1.5</v>
      </c>
      <c r="DL10">
        <f t="shared" si="56"/>
        <v>0</v>
      </c>
      <c r="DM10">
        <f t="shared" si="57"/>
        <v>10</v>
      </c>
      <c r="DO10">
        <f t="shared" si="58"/>
        <v>94</v>
      </c>
    </row>
    <row r="11" spans="1:119" x14ac:dyDescent="0.35">
      <c r="A11" t="s">
        <v>29</v>
      </c>
      <c r="B11">
        <v>10</v>
      </c>
      <c r="C11" s="10">
        <v>3</v>
      </c>
      <c r="D11">
        <v>1.5</v>
      </c>
      <c r="E11">
        <v>0</v>
      </c>
      <c r="F11">
        <v>1.5</v>
      </c>
      <c r="G11">
        <v>0</v>
      </c>
      <c r="H11">
        <v>1.5</v>
      </c>
      <c r="I11">
        <v>3</v>
      </c>
      <c r="J11">
        <v>0</v>
      </c>
      <c r="K11">
        <v>10</v>
      </c>
      <c r="L11">
        <v>10</v>
      </c>
      <c r="M11">
        <v>10</v>
      </c>
      <c r="N11">
        <v>0</v>
      </c>
      <c r="O11">
        <v>1.5</v>
      </c>
      <c r="P11">
        <v>3</v>
      </c>
      <c r="Q11">
        <v>4.5</v>
      </c>
      <c r="R11">
        <v>3</v>
      </c>
      <c r="S11">
        <v>3</v>
      </c>
      <c r="T11">
        <v>1.5</v>
      </c>
      <c r="U11">
        <v>10</v>
      </c>
      <c r="V11">
        <v>3</v>
      </c>
      <c r="W11">
        <v>3</v>
      </c>
      <c r="X11">
        <v>10</v>
      </c>
      <c r="Y11">
        <v>1.5</v>
      </c>
      <c r="Z11">
        <v>1.5</v>
      </c>
      <c r="AA11">
        <v>10</v>
      </c>
      <c r="AB11">
        <v>1.5</v>
      </c>
      <c r="AC11">
        <v>1.5</v>
      </c>
      <c r="AD11">
        <v>1.5</v>
      </c>
      <c r="AE11">
        <v>1.5</v>
      </c>
      <c r="AF11">
        <v>10</v>
      </c>
      <c r="AG11">
        <v>10</v>
      </c>
      <c r="AH11">
        <v>1.5</v>
      </c>
      <c r="AI11">
        <v>1.5</v>
      </c>
      <c r="AJ11">
        <v>3</v>
      </c>
      <c r="AK11">
        <v>10</v>
      </c>
      <c r="AL11">
        <v>3</v>
      </c>
      <c r="AM11">
        <v>3</v>
      </c>
      <c r="AN11">
        <v>3</v>
      </c>
      <c r="AO11">
        <v>10</v>
      </c>
      <c r="AP11">
        <v>1.5</v>
      </c>
      <c r="AQ11">
        <v>1.5</v>
      </c>
      <c r="AR11">
        <v>3</v>
      </c>
      <c r="AS11">
        <v>10</v>
      </c>
      <c r="AT11">
        <v>3</v>
      </c>
      <c r="AU11">
        <v>3</v>
      </c>
      <c r="AV11">
        <v>10</v>
      </c>
      <c r="AW11">
        <v>1.5</v>
      </c>
      <c r="AX11">
        <v>3</v>
      </c>
      <c r="AY11">
        <v>1.5</v>
      </c>
      <c r="AZ11">
        <v>1.5</v>
      </c>
      <c r="BA11">
        <v>1.5</v>
      </c>
      <c r="BB11">
        <v>4.5</v>
      </c>
      <c r="BC11">
        <v>1.5</v>
      </c>
      <c r="BD11">
        <v>1.5</v>
      </c>
      <c r="BE11">
        <v>1.5</v>
      </c>
      <c r="BF11">
        <v>1.5</v>
      </c>
      <c r="BG11">
        <v>1.5</v>
      </c>
      <c r="BI11">
        <f t="shared" si="1"/>
        <v>3</v>
      </c>
      <c r="BJ11">
        <f t="shared" si="2"/>
        <v>0</v>
      </c>
      <c r="BK11">
        <f t="shared" si="3"/>
        <v>0</v>
      </c>
      <c r="BL11">
        <f t="shared" si="4"/>
        <v>1.5</v>
      </c>
      <c r="BM11">
        <f t="shared" si="5"/>
        <v>0</v>
      </c>
      <c r="BN11">
        <f t="shared" si="6"/>
        <v>0</v>
      </c>
      <c r="BO11">
        <f t="shared" si="7"/>
        <v>3</v>
      </c>
      <c r="BP11">
        <f t="shared" si="8"/>
        <v>0</v>
      </c>
      <c r="BQ11">
        <f t="shared" si="9"/>
        <v>10</v>
      </c>
      <c r="BR11">
        <f t="shared" si="10"/>
        <v>0</v>
      </c>
      <c r="BS11">
        <f t="shared" si="11"/>
        <v>0</v>
      </c>
      <c r="BT11">
        <f t="shared" si="12"/>
        <v>0</v>
      </c>
      <c r="BU11">
        <f t="shared" si="13"/>
        <v>0</v>
      </c>
      <c r="BV11">
        <f t="shared" si="14"/>
        <v>3</v>
      </c>
      <c r="BW11">
        <f t="shared" si="15"/>
        <v>4.5</v>
      </c>
      <c r="BX11">
        <f t="shared" si="16"/>
        <v>0</v>
      </c>
      <c r="BY11">
        <f t="shared" si="17"/>
        <v>3</v>
      </c>
      <c r="BZ11">
        <f t="shared" si="18"/>
        <v>1.5</v>
      </c>
      <c r="CA11">
        <f t="shared" si="19"/>
        <v>0</v>
      </c>
      <c r="CB11">
        <f t="shared" si="20"/>
        <v>3</v>
      </c>
      <c r="CC11">
        <f t="shared" si="21"/>
        <v>0</v>
      </c>
      <c r="CD11">
        <f t="shared" si="22"/>
        <v>0</v>
      </c>
      <c r="CE11">
        <f t="shared" si="23"/>
        <v>0</v>
      </c>
      <c r="CF11">
        <f t="shared" si="24"/>
        <v>0</v>
      </c>
      <c r="CG11">
        <f t="shared" si="25"/>
        <v>0</v>
      </c>
      <c r="CH11">
        <f t="shared" si="26"/>
        <v>0</v>
      </c>
      <c r="CI11">
        <f t="shared" si="27"/>
        <v>0</v>
      </c>
      <c r="CJ11">
        <f t="shared" si="28"/>
        <v>0</v>
      </c>
      <c r="CK11">
        <f t="shared" si="29"/>
        <v>0</v>
      </c>
      <c r="CL11">
        <f t="shared" si="30"/>
        <v>0</v>
      </c>
      <c r="CM11">
        <f t="shared" si="31"/>
        <v>0</v>
      </c>
      <c r="CN11">
        <f t="shared" si="32"/>
        <v>0</v>
      </c>
      <c r="CO11">
        <f t="shared" si="33"/>
        <v>0</v>
      </c>
      <c r="CP11">
        <f t="shared" si="34"/>
        <v>0</v>
      </c>
      <c r="CQ11">
        <f t="shared" si="35"/>
        <v>0</v>
      </c>
      <c r="CR11">
        <f t="shared" si="36"/>
        <v>0</v>
      </c>
      <c r="CS11">
        <f t="shared" si="37"/>
        <v>0</v>
      </c>
      <c r="CT11">
        <f t="shared" si="38"/>
        <v>0</v>
      </c>
      <c r="CU11">
        <f t="shared" si="39"/>
        <v>10</v>
      </c>
      <c r="CV11">
        <f t="shared" si="40"/>
        <v>0</v>
      </c>
      <c r="CW11">
        <f t="shared" si="41"/>
        <v>0</v>
      </c>
      <c r="CX11">
        <f t="shared" si="42"/>
        <v>3</v>
      </c>
      <c r="CY11">
        <f t="shared" si="43"/>
        <v>0</v>
      </c>
      <c r="CZ11">
        <f t="shared" si="44"/>
        <v>0</v>
      </c>
      <c r="DA11">
        <f t="shared" si="45"/>
        <v>0</v>
      </c>
      <c r="DB11">
        <f t="shared" si="46"/>
        <v>0</v>
      </c>
      <c r="DC11">
        <f t="shared" si="47"/>
        <v>0</v>
      </c>
      <c r="DD11">
        <f t="shared" si="48"/>
        <v>3</v>
      </c>
      <c r="DE11">
        <f t="shared" si="49"/>
        <v>0</v>
      </c>
      <c r="DF11">
        <f t="shared" si="50"/>
        <v>0</v>
      </c>
      <c r="DG11">
        <f t="shared" si="51"/>
        <v>1.5</v>
      </c>
      <c r="DH11">
        <f t="shared" si="52"/>
        <v>0</v>
      </c>
      <c r="DI11">
        <f t="shared" si="53"/>
        <v>0</v>
      </c>
      <c r="DJ11">
        <f t="shared" si="54"/>
        <v>0</v>
      </c>
      <c r="DK11">
        <f t="shared" si="55"/>
        <v>1.5</v>
      </c>
      <c r="DL11">
        <f t="shared" si="56"/>
        <v>0</v>
      </c>
      <c r="DM11">
        <f t="shared" si="57"/>
        <v>1.5</v>
      </c>
      <c r="DO11">
        <f t="shared" si="58"/>
        <v>53</v>
      </c>
    </row>
    <row r="12" spans="1:119" x14ac:dyDescent="0.35">
      <c r="A12" t="s">
        <v>30</v>
      </c>
      <c r="B12">
        <v>11</v>
      </c>
      <c r="C12" s="10">
        <v>1.5</v>
      </c>
      <c r="D12">
        <v>0</v>
      </c>
      <c r="E12">
        <v>1.5</v>
      </c>
      <c r="F12">
        <v>1.5</v>
      </c>
      <c r="G12">
        <v>1.5</v>
      </c>
      <c r="H12">
        <v>3</v>
      </c>
      <c r="I12">
        <v>1.5</v>
      </c>
      <c r="J12">
        <v>3</v>
      </c>
      <c r="K12">
        <v>3</v>
      </c>
      <c r="L12">
        <v>10</v>
      </c>
      <c r="M12">
        <v>10</v>
      </c>
      <c r="N12">
        <v>0</v>
      </c>
      <c r="O12">
        <v>1.5</v>
      </c>
      <c r="P12">
        <v>3</v>
      </c>
      <c r="Q12">
        <v>3</v>
      </c>
      <c r="R12">
        <v>4.5</v>
      </c>
      <c r="S12">
        <v>1.5</v>
      </c>
      <c r="T12">
        <v>3</v>
      </c>
      <c r="U12">
        <v>10</v>
      </c>
      <c r="V12">
        <v>1.5</v>
      </c>
      <c r="W12">
        <v>1.5</v>
      </c>
      <c r="X12">
        <v>10</v>
      </c>
      <c r="Y12">
        <v>1.5</v>
      </c>
      <c r="Z12">
        <v>3</v>
      </c>
      <c r="AA12">
        <v>1.5</v>
      </c>
      <c r="AB12">
        <v>0</v>
      </c>
      <c r="AC12">
        <v>0</v>
      </c>
      <c r="AD12">
        <v>0</v>
      </c>
      <c r="AE12">
        <v>0</v>
      </c>
      <c r="AF12">
        <v>1.5</v>
      </c>
      <c r="AG12">
        <v>10</v>
      </c>
      <c r="AH12">
        <v>3</v>
      </c>
      <c r="AI12">
        <v>10</v>
      </c>
      <c r="AJ12">
        <v>1.5</v>
      </c>
      <c r="AK12">
        <v>1.5</v>
      </c>
      <c r="AL12">
        <v>1.5</v>
      </c>
      <c r="AM12">
        <v>1.5</v>
      </c>
      <c r="AN12">
        <v>1.5</v>
      </c>
      <c r="AO12">
        <v>10</v>
      </c>
      <c r="AP12">
        <v>10</v>
      </c>
      <c r="AQ12">
        <v>0</v>
      </c>
      <c r="AR12">
        <v>10</v>
      </c>
      <c r="AS12">
        <v>10</v>
      </c>
      <c r="AT12">
        <v>1.5</v>
      </c>
      <c r="AU12">
        <v>1.5</v>
      </c>
      <c r="AV12">
        <v>1.5</v>
      </c>
      <c r="AW12">
        <v>0</v>
      </c>
      <c r="AX12">
        <v>3</v>
      </c>
      <c r="AY12">
        <v>0</v>
      </c>
      <c r="AZ12">
        <v>0</v>
      </c>
      <c r="BA12">
        <v>0</v>
      </c>
      <c r="BB12">
        <v>3</v>
      </c>
      <c r="BC12">
        <v>3</v>
      </c>
      <c r="BD12">
        <v>10</v>
      </c>
      <c r="BE12">
        <v>3</v>
      </c>
      <c r="BF12">
        <v>0</v>
      </c>
      <c r="BG12">
        <v>1.5</v>
      </c>
      <c r="BI12">
        <f t="shared" si="1"/>
        <v>1.5</v>
      </c>
      <c r="BJ12">
        <f t="shared" si="2"/>
        <v>0</v>
      </c>
      <c r="BK12">
        <f t="shared" si="3"/>
        <v>0</v>
      </c>
      <c r="BL12">
        <f t="shared" si="4"/>
        <v>1.5</v>
      </c>
      <c r="BM12">
        <f t="shared" si="5"/>
        <v>0</v>
      </c>
      <c r="BN12">
        <f t="shared" si="6"/>
        <v>0</v>
      </c>
      <c r="BO12">
        <f t="shared" si="7"/>
        <v>1.5</v>
      </c>
      <c r="BP12">
        <f t="shared" si="8"/>
        <v>3</v>
      </c>
      <c r="BQ12">
        <f t="shared" si="9"/>
        <v>3</v>
      </c>
      <c r="BR12">
        <f t="shared" si="10"/>
        <v>0</v>
      </c>
      <c r="BS12">
        <f t="shared" si="11"/>
        <v>0</v>
      </c>
      <c r="BT12">
        <f t="shared" si="12"/>
        <v>0</v>
      </c>
      <c r="BU12">
        <f t="shared" si="13"/>
        <v>0</v>
      </c>
      <c r="BV12">
        <f t="shared" si="14"/>
        <v>3</v>
      </c>
      <c r="BW12">
        <f t="shared" si="15"/>
        <v>3</v>
      </c>
      <c r="BX12">
        <f t="shared" si="16"/>
        <v>0</v>
      </c>
      <c r="BY12">
        <f t="shared" si="17"/>
        <v>1.5</v>
      </c>
      <c r="BZ12">
        <f t="shared" si="18"/>
        <v>3</v>
      </c>
      <c r="CA12">
        <f t="shared" si="19"/>
        <v>0</v>
      </c>
      <c r="CB12">
        <f t="shared" si="20"/>
        <v>1.5</v>
      </c>
      <c r="CC12">
        <f t="shared" si="21"/>
        <v>0</v>
      </c>
      <c r="CD12">
        <f t="shared" si="22"/>
        <v>0</v>
      </c>
      <c r="CE12">
        <f t="shared" si="23"/>
        <v>0</v>
      </c>
      <c r="CF12">
        <f t="shared" si="24"/>
        <v>0</v>
      </c>
      <c r="CG12">
        <f t="shared" si="25"/>
        <v>0</v>
      </c>
      <c r="CH12">
        <f t="shared" si="26"/>
        <v>0</v>
      </c>
      <c r="CI12">
        <f t="shared" si="27"/>
        <v>0</v>
      </c>
      <c r="CJ12">
        <f t="shared" si="28"/>
        <v>0</v>
      </c>
      <c r="CK12">
        <f t="shared" si="29"/>
        <v>0</v>
      </c>
      <c r="CL12">
        <f t="shared" si="30"/>
        <v>0</v>
      </c>
      <c r="CM12">
        <f t="shared" si="31"/>
        <v>0</v>
      </c>
      <c r="CN12">
        <f t="shared" si="32"/>
        <v>0</v>
      </c>
      <c r="CO12">
        <f t="shared" si="33"/>
        <v>0</v>
      </c>
      <c r="CP12">
        <f t="shared" si="34"/>
        <v>0</v>
      </c>
      <c r="CQ12">
        <f t="shared" si="35"/>
        <v>0</v>
      </c>
      <c r="CR12">
        <f t="shared" si="36"/>
        <v>0</v>
      </c>
      <c r="CS12">
        <f t="shared" si="37"/>
        <v>0</v>
      </c>
      <c r="CT12">
        <f t="shared" si="38"/>
        <v>0</v>
      </c>
      <c r="CU12">
        <f t="shared" si="39"/>
        <v>10</v>
      </c>
      <c r="CV12">
        <f t="shared" si="40"/>
        <v>0</v>
      </c>
      <c r="CW12">
        <f t="shared" si="41"/>
        <v>0</v>
      </c>
      <c r="CX12">
        <f t="shared" si="42"/>
        <v>10</v>
      </c>
      <c r="CY12">
        <f t="shared" si="43"/>
        <v>0</v>
      </c>
      <c r="CZ12">
        <f t="shared" si="44"/>
        <v>0</v>
      </c>
      <c r="DA12">
        <f t="shared" si="45"/>
        <v>0</v>
      </c>
      <c r="DB12">
        <f t="shared" si="46"/>
        <v>0</v>
      </c>
      <c r="DC12">
        <f t="shared" si="47"/>
        <v>0</v>
      </c>
      <c r="DD12">
        <f t="shared" si="48"/>
        <v>3</v>
      </c>
      <c r="DE12">
        <f t="shared" si="49"/>
        <v>0</v>
      </c>
      <c r="DF12">
        <f t="shared" si="50"/>
        <v>0</v>
      </c>
      <c r="DG12">
        <f t="shared" si="51"/>
        <v>0</v>
      </c>
      <c r="DH12">
        <f t="shared" si="52"/>
        <v>0</v>
      </c>
      <c r="DI12">
        <f t="shared" si="53"/>
        <v>0</v>
      </c>
      <c r="DJ12">
        <f t="shared" si="54"/>
        <v>0</v>
      </c>
      <c r="DK12">
        <f t="shared" si="55"/>
        <v>3</v>
      </c>
      <c r="DL12">
        <f t="shared" si="56"/>
        <v>0</v>
      </c>
      <c r="DM12">
        <f t="shared" si="57"/>
        <v>1.5</v>
      </c>
      <c r="DO12">
        <f t="shared" si="58"/>
        <v>50</v>
      </c>
    </row>
    <row r="13" spans="1:119" x14ac:dyDescent="0.35">
      <c r="A13" t="s">
        <v>73</v>
      </c>
      <c r="B13">
        <v>12</v>
      </c>
      <c r="C13" s="10">
        <v>1.5</v>
      </c>
      <c r="D13">
        <v>0</v>
      </c>
      <c r="E13">
        <v>0</v>
      </c>
      <c r="F13">
        <v>0</v>
      </c>
      <c r="G13">
        <v>1.5</v>
      </c>
      <c r="H13">
        <v>0</v>
      </c>
      <c r="I13">
        <v>0</v>
      </c>
      <c r="J13">
        <v>10</v>
      </c>
      <c r="K13">
        <v>0</v>
      </c>
      <c r="L13">
        <v>0</v>
      </c>
      <c r="M13">
        <v>0</v>
      </c>
      <c r="N13">
        <v>10</v>
      </c>
      <c r="O13">
        <v>0</v>
      </c>
      <c r="P13">
        <v>0</v>
      </c>
      <c r="Q13">
        <v>0</v>
      </c>
      <c r="R13">
        <v>1.5</v>
      </c>
      <c r="S13">
        <v>0</v>
      </c>
      <c r="T13">
        <v>1.5</v>
      </c>
      <c r="U13">
        <v>0</v>
      </c>
      <c r="V13">
        <v>1.5</v>
      </c>
      <c r="W13">
        <v>1.5</v>
      </c>
      <c r="X13">
        <v>0</v>
      </c>
      <c r="Y13">
        <v>1.5</v>
      </c>
      <c r="Z13">
        <v>0</v>
      </c>
      <c r="AA13">
        <v>1.5</v>
      </c>
      <c r="AB13">
        <v>0</v>
      </c>
      <c r="AC13">
        <v>10</v>
      </c>
      <c r="AD13">
        <v>10</v>
      </c>
      <c r="AE13">
        <v>0</v>
      </c>
      <c r="AF13">
        <v>0</v>
      </c>
      <c r="AG13">
        <v>0</v>
      </c>
      <c r="AH13">
        <v>1.5</v>
      </c>
      <c r="AI13">
        <v>1.5</v>
      </c>
      <c r="AJ13">
        <v>0</v>
      </c>
      <c r="AK13">
        <v>1.5</v>
      </c>
      <c r="AL13">
        <v>0</v>
      </c>
      <c r="AM13">
        <v>0</v>
      </c>
      <c r="AN13">
        <v>1.5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1.5</v>
      </c>
      <c r="AU13">
        <v>1.5</v>
      </c>
      <c r="AV13">
        <v>0</v>
      </c>
      <c r="AW13">
        <v>1.5</v>
      </c>
      <c r="AX13">
        <v>0</v>
      </c>
      <c r="AY13">
        <v>1.5</v>
      </c>
      <c r="AZ13">
        <v>0</v>
      </c>
      <c r="BA13">
        <v>1.5</v>
      </c>
      <c r="BB13">
        <v>0</v>
      </c>
      <c r="BC13">
        <v>0</v>
      </c>
      <c r="BD13">
        <v>1.5</v>
      </c>
      <c r="BE13">
        <v>0</v>
      </c>
      <c r="BF13">
        <v>1.5</v>
      </c>
      <c r="BG13">
        <v>0</v>
      </c>
      <c r="BI13">
        <f t="shared" si="1"/>
        <v>1.5</v>
      </c>
      <c r="BJ13">
        <f t="shared" si="2"/>
        <v>0</v>
      </c>
      <c r="BK13">
        <f t="shared" si="3"/>
        <v>0</v>
      </c>
      <c r="BL13">
        <f t="shared" si="4"/>
        <v>0</v>
      </c>
      <c r="BM13">
        <f t="shared" si="5"/>
        <v>0</v>
      </c>
      <c r="BN13">
        <f t="shared" si="6"/>
        <v>0</v>
      </c>
      <c r="BO13">
        <f t="shared" si="7"/>
        <v>0</v>
      </c>
      <c r="BP13">
        <f t="shared" si="8"/>
        <v>10</v>
      </c>
      <c r="BQ13">
        <f t="shared" si="9"/>
        <v>0</v>
      </c>
      <c r="BR13">
        <f t="shared" si="10"/>
        <v>0</v>
      </c>
      <c r="BS13">
        <f t="shared" si="11"/>
        <v>0</v>
      </c>
      <c r="BT13">
        <f t="shared" si="12"/>
        <v>0</v>
      </c>
      <c r="BU13">
        <f t="shared" si="13"/>
        <v>0</v>
      </c>
      <c r="BV13">
        <f t="shared" si="14"/>
        <v>0</v>
      </c>
      <c r="BW13">
        <f t="shared" si="15"/>
        <v>0</v>
      </c>
      <c r="BX13">
        <f t="shared" si="16"/>
        <v>0</v>
      </c>
      <c r="BY13">
        <f t="shared" si="17"/>
        <v>0</v>
      </c>
      <c r="BZ13">
        <f t="shared" si="18"/>
        <v>1.5</v>
      </c>
      <c r="CA13">
        <f t="shared" si="19"/>
        <v>0</v>
      </c>
      <c r="CB13">
        <f t="shared" si="20"/>
        <v>1.5</v>
      </c>
      <c r="CC13">
        <f t="shared" si="21"/>
        <v>0</v>
      </c>
      <c r="CD13">
        <f t="shared" si="22"/>
        <v>0</v>
      </c>
      <c r="CE13">
        <f t="shared" si="23"/>
        <v>0</v>
      </c>
      <c r="CF13">
        <f t="shared" si="24"/>
        <v>0</v>
      </c>
      <c r="CG13">
        <f t="shared" si="25"/>
        <v>0</v>
      </c>
      <c r="CH13">
        <f t="shared" si="26"/>
        <v>0</v>
      </c>
      <c r="CI13">
        <f t="shared" si="27"/>
        <v>0</v>
      </c>
      <c r="CJ13">
        <f t="shared" si="28"/>
        <v>0</v>
      </c>
      <c r="CK13">
        <f t="shared" si="29"/>
        <v>0</v>
      </c>
      <c r="CL13">
        <f t="shared" si="30"/>
        <v>0</v>
      </c>
      <c r="CM13">
        <f t="shared" si="31"/>
        <v>0</v>
      </c>
      <c r="CN13">
        <f t="shared" si="32"/>
        <v>0</v>
      </c>
      <c r="CO13">
        <f t="shared" si="33"/>
        <v>0</v>
      </c>
      <c r="CP13">
        <f t="shared" si="34"/>
        <v>0</v>
      </c>
      <c r="CQ13">
        <f t="shared" si="35"/>
        <v>0</v>
      </c>
      <c r="CR13">
        <f t="shared" si="36"/>
        <v>0</v>
      </c>
      <c r="CS13">
        <f t="shared" si="37"/>
        <v>0</v>
      </c>
      <c r="CT13">
        <f t="shared" si="38"/>
        <v>0</v>
      </c>
      <c r="CU13">
        <f t="shared" si="39"/>
        <v>0</v>
      </c>
      <c r="CV13">
        <f t="shared" si="40"/>
        <v>0</v>
      </c>
      <c r="CW13">
        <f t="shared" si="41"/>
        <v>0</v>
      </c>
      <c r="CX13">
        <f t="shared" si="42"/>
        <v>0</v>
      </c>
      <c r="CY13">
        <f t="shared" si="43"/>
        <v>0</v>
      </c>
      <c r="CZ13">
        <f t="shared" si="44"/>
        <v>0</v>
      </c>
      <c r="DA13">
        <f t="shared" si="45"/>
        <v>0</v>
      </c>
      <c r="DB13">
        <f t="shared" si="46"/>
        <v>0</v>
      </c>
      <c r="DC13">
        <f t="shared" si="47"/>
        <v>0</v>
      </c>
      <c r="DD13">
        <f t="shared" si="48"/>
        <v>0</v>
      </c>
      <c r="DE13">
        <f t="shared" si="49"/>
        <v>0</v>
      </c>
      <c r="DF13">
        <f t="shared" si="50"/>
        <v>0</v>
      </c>
      <c r="DG13">
        <f t="shared" si="51"/>
        <v>1.5</v>
      </c>
      <c r="DH13">
        <f t="shared" si="52"/>
        <v>0</v>
      </c>
      <c r="DI13">
        <f t="shared" si="53"/>
        <v>0</v>
      </c>
      <c r="DJ13">
        <f t="shared" si="54"/>
        <v>0</v>
      </c>
      <c r="DK13">
        <f t="shared" si="55"/>
        <v>0</v>
      </c>
      <c r="DL13">
        <f t="shared" si="56"/>
        <v>0</v>
      </c>
      <c r="DM13">
        <f t="shared" si="57"/>
        <v>0</v>
      </c>
      <c r="DO13">
        <f t="shared" si="58"/>
        <v>16</v>
      </c>
    </row>
    <row r="14" spans="1:119" x14ac:dyDescent="0.35">
      <c r="A14" t="s">
        <v>31</v>
      </c>
      <c r="B14">
        <v>13</v>
      </c>
      <c r="C14" s="10">
        <v>3</v>
      </c>
      <c r="D14">
        <v>1.5</v>
      </c>
      <c r="E14">
        <v>3</v>
      </c>
      <c r="F14">
        <v>1.5</v>
      </c>
      <c r="G14">
        <v>0</v>
      </c>
      <c r="H14">
        <v>3</v>
      </c>
      <c r="I14">
        <v>10</v>
      </c>
      <c r="J14">
        <v>0</v>
      </c>
      <c r="K14">
        <v>1.5</v>
      </c>
      <c r="L14">
        <v>1.5</v>
      </c>
      <c r="M14">
        <v>1.5</v>
      </c>
      <c r="N14">
        <v>0</v>
      </c>
      <c r="O14">
        <v>10</v>
      </c>
      <c r="P14">
        <v>0</v>
      </c>
      <c r="Q14">
        <v>3</v>
      </c>
      <c r="R14">
        <v>0</v>
      </c>
      <c r="S14">
        <v>3</v>
      </c>
      <c r="T14">
        <v>1.5</v>
      </c>
      <c r="U14">
        <v>0</v>
      </c>
      <c r="V14">
        <v>3</v>
      </c>
      <c r="W14">
        <v>3</v>
      </c>
      <c r="X14">
        <v>1.5</v>
      </c>
      <c r="Y14">
        <v>10</v>
      </c>
      <c r="Z14">
        <v>3</v>
      </c>
      <c r="AA14">
        <v>3</v>
      </c>
      <c r="AB14">
        <v>1.5</v>
      </c>
      <c r="AC14">
        <v>1.5</v>
      </c>
      <c r="AD14">
        <v>1.5</v>
      </c>
      <c r="AE14">
        <v>10</v>
      </c>
      <c r="AF14">
        <v>3</v>
      </c>
      <c r="AG14">
        <v>1.5</v>
      </c>
      <c r="AH14">
        <v>1.5</v>
      </c>
      <c r="AI14">
        <v>1.5</v>
      </c>
      <c r="AJ14">
        <v>1.5</v>
      </c>
      <c r="AK14">
        <v>3</v>
      </c>
      <c r="AL14">
        <v>1.5</v>
      </c>
      <c r="AM14">
        <v>0</v>
      </c>
      <c r="AN14">
        <v>10</v>
      </c>
      <c r="AO14">
        <v>1.5</v>
      </c>
      <c r="AP14">
        <v>10</v>
      </c>
      <c r="AQ14">
        <v>1.5</v>
      </c>
      <c r="AR14">
        <v>1.5</v>
      </c>
      <c r="AS14">
        <v>0</v>
      </c>
      <c r="AT14">
        <v>1.5</v>
      </c>
      <c r="AU14">
        <v>1.5</v>
      </c>
      <c r="AV14">
        <v>10</v>
      </c>
      <c r="AW14">
        <v>3</v>
      </c>
      <c r="AX14">
        <v>1.5</v>
      </c>
      <c r="AY14">
        <v>3</v>
      </c>
      <c r="AZ14">
        <v>10</v>
      </c>
      <c r="BA14">
        <v>1.5</v>
      </c>
      <c r="BB14">
        <v>10</v>
      </c>
      <c r="BC14">
        <v>1.5</v>
      </c>
      <c r="BD14">
        <v>1.5</v>
      </c>
      <c r="BE14">
        <v>3</v>
      </c>
      <c r="BF14">
        <v>1.5</v>
      </c>
      <c r="BG14">
        <v>0</v>
      </c>
      <c r="BI14">
        <f t="shared" si="1"/>
        <v>3</v>
      </c>
      <c r="BJ14">
        <f t="shared" si="2"/>
        <v>0</v>
      </c>
      <c r="BK14">
        <f t="shared" si="3"/>
        <v>0</v>
      </c>
      <c r="BL14">
        <f t="shared" si="4"/>
        <v>1.5</v>
      </c>
      <c r="BM14">
        <f t="shared" si="5"/>
        <v>0</v>
      </c>
      <c r="BN14">
        <f t="shared" si="6"/>
        <v>0</v>
      </c>
      <c r="BO14">
        <f t="shared" si="7"/>
        <v>10</v>
      </c>
      <c r="BP14">
        <f t="shared" si="8"/>
        <v>0</v>
      </c>
      <c r="BQ14">
        <f t="shared" si="9"/>
        <v>1.5</v>
      </c>
      <c r="BR14">
        <f t="shared" si="10"/>
        <v>0</v>
      </c>
      <c r="BS14">
        <f t="shared" si="11"/>
        <v>0</v>
      </c>
      <c r="BT14">
        <f t="shared" si="12"/>
        <v>0</v>
      </c>
      <c r="BU14">
        <f t="shared" si="13"/>
        <v>0</v>
      </c>
      <c r="BV14">
        <f t="shared" si="14"/>
        <v>0</v>
      </c>
      <c r="BW14">
        <f t="shared" si="15"/>
        <v>3</v>
      </c>
      <c r="BX14">
        <f t="shared" si="16"/>
        <v>0</v>
      </c>
      <c r="BY14">
        <f t="shared" si="17"/>
        <v>3</v>
      </c>
      <c r="BZ14">
        <f t="shared" si="18"/>
        <v>1.5</v>
      </c>
      <c r="CA14">
        <f t="shared" si="19"/>
        <v>0</v>
      </c>
      <c r="CB14">
        <f t="shared" si="20"/>
        <v>3</v>
      </c>
      <c r="CC14">
        <f t="shared" si="21"/>
        <v>0</v>
      </c>
      <c r="CD14">
        <f t="shared" si="22"/>
        <v>0</v>
      </c>
      <c r="CE14">
        <f t="shared" si="23"/>
        <v>0</v>
      </c>
      <c r="CF14">
        <f t="shared" si="24"/>
        <v>0</v>
      </c>
      <c r="CG14">
        <f t="shared" si="25"/>
        <v>0</v>
      </c>
      <c r="CH14">
        <f t="shared" si="26"/>
        <v>0</v>
      </c>
      <c r="CI14">
        <f t="shared" si="27"/>
        <v>0</v>
      </c>
      <c r="CJ14">
        <f t="shared" si="28"/>
        <v>0</v>
      </c>
      <c r="CK14">
        <f t="shared" si="29"/>
        <v>0</v>
      </c>
      <c r="CL14">
        <f t="shared" si="30"/>
        <v>0</v>
      </c>
      <c r="CM14">
        <f t="shared" si="31"/>
        <v>0</v>
      </c>
      <c r="CN14">
        <f t="shared" si="32"/>
        <v>0</v>
      </c>
      <c r="CO14">
        <f t="shared" si="33"/>
        <v>0</v>
      </c>
      <c r="CP14">
        <f t="shared" si="34"/>
        <v>0</v>
      </c>
      <c r="CQ14">
        <f t="shared" si="35"/>
        <v>0</v>
      </c>
      <c r="CR14">
        <f t="shared" si="36"/>
        <v>0</v>
      </c>
      <c r="CS14">
        <f t="shared" si="37"/>
        <v>0</v>
      </c>
      <c r="CT14">
        <f t="shared" si="38"/>
        <v>0</v>
      </c>
      <c r="CU14">
        <f t="shared" si="39"/>
        <v>1.5</v>
      </c>
      <c r="CV14">
        <f t="shared" si="40"/>
        <v>0</v>
      </c>
      <c r="CW14">
        <f t="shared" si="41"/>
        <v>0</v>
      </c>
      <c r="CX14">
        <f t="shared" si="42"/>
        <v>1.5</v>
      </c>
      <c r="CY14">
        <f t="shared" si="43"/>
        <v>0</v>
      </c>
      <c r="CZ14">
        <f t="shared" si="44"/>
        <v>0</v>
      </c>
      <c r="DA14">
        <f t="shared" si="45"/>
        <v>0</v>
      </c>
      <c r="DB14">
        <f t="shared" si="46"/>
        <v>0</v>
      </c>
      <c r="DC14">
        <f t="shared" si="47"/>
        <v>0</v>
      </c>
      <c r="DD14">
        <f t="shared" si="48"/>
        <v>1.5</v>
      </c>
      <c r="DE14">
        <f t="shared" si="49"/>
        <v>0</v>
      </c>
      <c r="DF14">
        <f t="shared" si="50"/>
        <v>0</v>
      </c>
      <c r="DG14">
        <f t="shared" si="51"/>
        <v>1.5</v>
      </c>
      <c r="DH14">
        <f t="shared" si="52"/>
        <v>0</v>
      </c>
      <c r="DI14">
        <f t="shared" si="53"/>
        <v>0</v>
      </c>
      <c r="DJ14">
        <f t="shared" si="54"/>
        <v>0</v>
      </c>
      <c r="DK14">
        <f t="shared" si="55"/>
        <v>3</v>
      </c>
      <c r="DL14">
        <f t="shared" si="56"/>
        <v>0</v>
      </c>
      <c r="DM14">
        <f t="shared" si="57"/>
        <v>0</v>
      </c>
      <c r="DO14">
        <f t="shared" si="58"/>
        <v>35.5</v>
      </c>
    </row>
    <row r="15" spans="1:119" x14ac:dyDescent="0.35">
      <c r="A15" t="s">
        <v>32</v>
      </c>
      <c r="B15">
        <v>14</v>
      </c>
      <c r="C15" s="10">
        <v>0</v>
      </c>
      <c r="D15">
        <v>4.5</v>
      </c>
      <c r="E15">
        <v>3</v>
      </c>
      <c r="F15">
        <v>10</v>
      </c>
      <c r="G15">
        <v>1.5</v>
      </c>
      <c r="H15">
        <v>1.5</v>
      </c>
      <c r="I15">
        <v>0</v>
      </c>
      <c r="J15">
        <v>1.5</v>
      </c>
      <c r="K15">
        <v>10</v>
      </c>
      <c r="L15">
        <v>3</v>
      </c>
      <c r="M15">
        <v>3</v>
      </c>
      <c r="N15">
        <v>0</v>
      </c>
      <c r="O15">
        <v>0</v>
      </c>
      <c r="P15">
        <v>10</v>
      </c>
      <c r="Q15">
        <v>4.5</v>
      </c>
      <c r="R15">
        <v>10</v>
      </c>
      <c r="S15">
        <v>1.5</v>
      </c>
      <c r="T15">
        <v>0</v>
      </c>
      <c r="U15">
        <v>3</v>
      </c>
      <c r="V15">
        <v>0</v>
      </c>
      <c r="W15">
        <v>1.5</v>
      </c>
      <c r="X15">
        <v>1.5</v>
      </c>
      <c r="Y15">
        <v>0</v>
      </c>
      <c r="Z15">
        <v>3</v>
      </c>
      <c r="AA15">
        <v>1.5</v>
      </c>
      <c r="AB15">
        <v>3</v>
      </c>
      <c r="AC15">
        <v>0</v>
      </c>
      <c r="AD15">
        <v>0</v>
      </c>
      <c r="AE15">
        <v>0</v>
      </c>
      <c r="AF15">
        <v>1.5</v>
      </c>
      <c r="AG15">
        <v>3</v>
      </c>
      <c r="AH15">
        <v>1.5</v>
      </c>
      <c r="AI15">
        <v>1.5</v>
      </c>
      <c r="AJ15">
        <v>4.5</v>
      </c>
      <c r="AK15">
        <v>1.5</v>
      </c>
      <c r="AL15">
        <v>3</v>
      </c>
      <c r="AM15">
        <v>10</v>
      </c>
      <c r="AN15">
        <v>0</v>
      </c>
      <c r="AO15">
        <v>1.5</v>
      </c>
      <c r="AP15">
        <v>3</v>
      </c>
      <c r="AQ15">
        <v>3</v>
      </c>
      <c r="AR15">
        <v>10</v>
      </c>
      <c r="AS15">
        <v>10</v>
      </c>
      <c r="AT15">
        <v>1.5</v>
      </c>
      <c r="AU15">
        <v>1.5</v>
      </c>
      <c r="AV15">
        <v>1.5</v>
      </c>
      <c r="AW15">
        <v>0</v>
      </c>
      <c r="AX15">
        <v>10</v>
      </c>
      <c r="AY15">
        <v>1.5</v>
      </c>
      <c r="AZ15">
        <v>1.5</v>
      </c>
      <c r="BA15">
        <v>1.5</v>
      </c>
      <c r="BB15">
        <v>1.5</v>
      </c>
      <c r="BC15">
        <v>10</v>
      </c>
      <c r="BD15">
        <v>3</v>
      </c>
      <c r="BE15">
        <v>1.5</v>
      </c>
      <c r="BF15">
        <v>1.5</v>
      </c>
      <c r="BG15">
        <v>10</v>
      </c>
      <c r="BI15">
        <f t="shared" si="1"/>
        <v>0</v>
      </c>
      <c r="BJ15">
        <f t="shared" si="2"/>
        <v>0</v>
      </c>
      <c r="BK15">
        <f t="shared" si="3"/>
        <v>0</v>
      </c>
      <c r="BL15">
        <f t="shared" si="4"/>
        <v>10</v>
      </c>
      <c r="BM15">
        <f t="shared" si="5"/>
        <v>0</v>
      </c>
      <c r="BN15">
        <f t="shared" si="6"/>
        <v>0</v>
      </c>
      <c r="BO15">
        <f t="shared" si="7"/>
        <v>0</v>
      </c>
      <c r="BP15">
        <f t="shared" si="8"/>
        <v>1.5</v>
      </c>
      <c r="BQ15">
        <f t="shared" si="9"/>
        <v>10</v>
      </c>
      <c r="BR15">
        <f t="shared" si="10"/>
        <v>0</v>
      </c>
      <c r="BS15">
        <f t="shared" si="11"/>
        <v>0</v>
      </c>
      <c r="BT15">
        <f t="shared" si="12"/>
        <v>0</v>
      </c>
      <c r="BU15">
        <f t="shared" si="13"/>
        <v>0</v>
      </c>
      <c r="BV15">
        <f t="shared" si="14"/>
        <v>10</v>
      </c>
      <c r="BW15">
        <f t="shared" si="15"/>
        <v>4.5</v>
      </c>
      <c r="BX15">
        <f t="shared" si="16"/>
        <v>0</v>
      </c>
      <c r="BY15">
        <f t="shared" si="17"/>
        <v>1.5</v>
      </c>
      <c r="BZ15">
        <f t="shared" si="18"/>
        <v>0</v>
      </c>
      <c r="CA15">
        <f t="shared" si="19"/>
        <v>0</v>
      </c>
      <c r="CB15">
        <f t="shared" si="20"/>
        <v>0</v>
      </c>
      <c r="CC15">
        <f t="shared" si="21"/>
        <v>0</v>
      </c>
      <c r="CD15">
        <f t="shared" si="22"/>
        <v>0</v>
      </c>
      <c r="CE15">
        <f t="shared" si="23"/>
        <v>0</v>
      </c>
      <c r="CF15">
        <f t="shared" si="24"/>
        <v>0</v>
      </c>
      <c r="CG15">
        <f t="shared" si="25"/>
        <v>0</v>
      </c>
      <c r="CH15">
        <f t="shared" si="26"/>
        <v>0</v>
      </c>
      <c r="CI15">
        <f t="shared" si="27"/>
        <v>0</v>
      </c>
      <c r="CJ15">
        <f t="shared" si="28"/>
        <v>0</v>
      </c>
      <c r="CK15">
        <f t="shared" si="29"/>
        <v>0</v>
      </c>
      <c r="CL15">
        <f t="shared" si="30"/>
        <v>0</v>
      </c>
      <c r="CM15">
        <f t="shared" si="31"/>
        <v>0</v>
      </c>
      <c r="CN15">
        <f t="shared" si="32"/>
        <v>0</v>
      </c>
      <c r="CO15">
        <f t="shared" si="33"/>
        <v>0</v>
      </c>
      <c r="CP15">
        <f t="shared" si="34"/>
        <v>0</v>
      </c>
      <c r="CQ15">
        <f t="shared" si="35"/>
        <v>0</v>
      </c>
      <c r="CR15">
        <f t="shared" si="36"/>
        <v>0</v>
      </c>
      <c r="CS15">
        <f t="shared" si="37"/>
        <v>0</v>
      </c>
      <c r="CT15">
        <f t="shared" si="38"/>
        <v>0</v>
      </c>
      <c r="CU15">
        <f t="shared" si="39"/>
        <v>1.5</v>
      </c>
      <c r="CV15">
        <f t="shared" si="40"/>
        <v>0</v>
      </c>
      <c r="CW15">
        <f t="shared" si="41"/>
        <v>0</v>
      </c>
      <c r="CX15">
        <f t="shared" si="42"/>
        <v>10</v>
      </c>
      <c r="CY15">
        <f t="shared" si="43"/>
        <v>0</v>
      </c>
      <c r="CZ15">
        <f t="shared" si="44"/>
        <v>0</v>
      </c>
      <c r="DA15">
        <f t="shared" si="45"/>
        <v>0</v>
      </c>
      <c r="DB15">
        <f t="shared" si="46"/>
        <v>0</v>
      </c>
      <c r="DC15">
        <f t="shared" si="47"/>
        <v>0</v>
      </c>
      <c r="DD15">
        <f t="shared" si="48"/>
        <v>10</v>
      </c>
      <c r="DE15">
        <f t="shared" si="49"/>
        <v>0</v>
      </c>
      <c r="DF15">
        <f t="shared" si="50"/>
        <v>0</v>
      </c>
      <c r="DG15">
        <f t="shared" si="51"/>
        <v>1.5</v>
      </c>
      <c r="DH15">
        <f t="shared" si="52"/>
        <v>0</v>
      </c>
      <c r="DI15">
        <f t="shared" si="53"/>
        <v>0</v>
      </c>
      <c r="DJ15">
        <f t="shared" si="54"/>
        <v>0</v>
      </c>
      <c r="DK15">
        <f t="shared" si="55"/>
        <v>1.5</v>
      </c>
      <c r="DL15">
        <f t="shared" si="56"/>
        <v>0</v>
      </c>
      <c r="DM15">
        <f t="shared" si="57"/>
        <v>10</v>
      </c>
      <c r="DO15">
        <f t="shared" si="58"/>
        <v>72</v>
      </c>
    </row>
    <row r="16" spans="1:119" x14ac:dyDescent="0.35">
      <c r="A16" t="s">
        <v>77</v>
      </c>
      <c r="B16">
        <v>15</v>
      </c>
      <c r="C16" s="10">
        <v>10</v>
      </c>
      <c r="D16">
        <v>10</v>
      </c>
      <c r="E16">
        <v>4.5</v>
      </c>
      <c r="F16">
        <v>4.5</v>
      </c>
      <c r="G16">
        <v>1.5</v>
      </c>
      <c r="H16">
        <v>6</v>
      </c>
      <c r="I16">
        <v>10</v>
      </c>
      <c r="J16">
        <v>1.5</v>
      </c>
      <c r="K16">
        <v>10</v>
      </c>
      <c r="L16">
        <v>4.5</v>
      </c>
      <c r="M16">
        <v>3</v>
      </c>
      <c r="N16">
        <v>0</v>
      </c>
      <c r="O16">
        <v>3</v>
      </c>
      <c r="P16">
        <v>4.5</v>
      </c>
      <c r="Q16">
        <v>10</v>
      </c>
      <c r="R16">
        <v>1.5</v>
      </c>
      <c r="S16">
        <v>10</v>
      </c>
      <c r="T16">
        <v>10</v>
      </c>
      <c r="U16">
        <v>3</v>
      </c>
      <c r="V16">
        <v>10</v>
      </c>
      <c r="W16">
        <v>10</v>
      </c>
      <c r="X16">
        <v>6</v>
      </c>
      <c r="Y16">
        <v>1.5</v>
      </c>
      <c r="Z16">
        <v>10</v>
      </c>
      <c r="AA16">
        <v>4.5</v>
      </c>
      <c r="AB16">
        <v>10</v>
      </c>
      <c r="AC16">
        <v>1.5</v>
      </c>
      <c r="AD16">
        <v>3</v>
      </c>
      <c r="AE16">
        <v>6</v>
      </c>
      <c r="AF16">
        <v>3</v>
      </c>
      <c r="AG16">
        <v>10</v>
      </c>
      <c r="AH16">
        <v>3</v>
      </c>
      <c r="AI16">
        <v>1.5</v>
      </c>
      <c r="AJ16">
        <v>10</v>
      </c>
      <c r="AK16">
        <v>3</v>
      </c>
      <c r="AL16">
        <v>10</v>
      </c>
      <c r="AM16">
        <v>10</v>
      </c>
      <c r="AN16">
        <v>4.5</v>
      </c>
      <c r="AO16">
        <v>10</v>
      </c>
      <c r="AP16">
        <v>3</v>
      </c>
      <c r="AQ16">
        <v>10</v>
      </c>
      <c r="AR16">
        <v>3</v>
      </c>
      <c r="AS16">
        <v>4.5</v>
      </c>
      <c r="AT16">
        <v>3</v>
      </c>
      <c r="AU16">
        <v>1.5</v>
      </c>
      <c r="AV16">
        <v>4.5</v>
      </c>
      <c r="AW16">
        <v>4.5</v>
      </c>
      <c r="AX16">
        <v>10</v>
      </c>
      <c r="AY16">
        <v>4.5</v>
      </c>
      <c r="AZ16">
        <v>4.5</v>
      </c>
      <c r="BA16">
        <v>3</v>
      </c>
      <c r="BB16">
        <v>10</v>
      </c>
      <c r="BC16">
        <v>4.5</v>
      </c>
      <c r="BD16">
        <v>0</v>
      </c>
      <c r="BE16">
        <v>10</v>
      </c>
      <c r="BF16">
        <v>1.5</v>
      </c>
      <c r="BG16">
        <v>3</v>
      </c>
      <c r="BI16">
        <f t="shared" si="1"/>
        <v>10</v>
      </c>
      <c r="BJ16">
        <f t="shared" si="2"/>
        <v>0</v>
      </c>
      <c r="BK16">
        <f t="shared" si="3"/>
        <v>0</v>
      </c>
      <c r="BL16">
        <f t="shared" si="4"/>
        <v>4.5</v>
      </c>
      <c r="BM16">
        <f t="shared" si="5"/>
        <v>0</v>
      </c>
      <c r="BN16">
        <f t="shared" si="6"/>
        <v>0</v>
      </c>
      <c r="BO16">
        <f t="shared" si="7"/>
        <v>10</v>
      </c>
      <c r="BP16">
        <f t="shared" si="8"/>
        <v>1.5</v>
      </c>
      <c r="BQ16">
        <f t="shared" si="9"/>
        <v>10</v>
      </c>
      <c r="BR16">
        <f t="shared" si="10"/>
        <v>0</v>
      </c>
      <c r="BS16">
        <f t="shared" si="11"/>
        <v>0</v>
      </c>
      <c r="BT16">
        <f t="shared" si="12"/>
        <v>0</v>
      </c>
      <c r="BU16">
        <f t="shared" si="13"/>
        <v>0</v>
      </c>
      <c r="BV16">
        <f t="shared" si="14"/>
        <v>4.5</v>
      </c>
      <c r="BW16">
        <f t="shared" si="15"/>
        <v>10</v>
      </c>
      <c r="BX16">
        <f t="shared" si="16"/>
        <v>0</v>
      </c>
      <c r="BY16">
        <f t="shared" si="17"/>
        <v>10</v>
      </c>
      <c r="BZ16">
        <f t="shared" si="18"/>
        <v>10</v>
      </c>
      <c r="CA16">
        <f t="shared" si="19"/>
        <v>0</v>
      </c>
      <c r="CB16">
        <f t="shared" si="20"/>
        <v>10</v>
      </c>
      <c r="CC16">
        <f t="shared" si="21"/>
        <v>0</v>
      </c>
      <c r="CD16">
        <f t="shared" si="22"/>
        <v>0</v>
      </c>
      <c r="CE16">
        <f t="shared" si="23"/>
        <v>0</v>
      </c>
      <c r="CF16">
        <f t="shared" si="24"/>
        <v>0</v>
      </c>
      <c r="CG16">
        <f t="shared" si="25"/>
        <v>0</v>
      </c>
      <c r="CH16">
        <f t="shared" si="26"/>
        <v>0</v>
      </c>
      <c r="CI16">
        <f t="shared" si="27"/>
        <v>0</v>
      </c>
      <c r="CJ16">
        <f t="shared" si="28"/>
        <v>0</v>
      </c>
      <c r="CK16">
        <f t="shared" si="29"/>
        <v>0</v>
      </c>
      <c r="CL16">
        <f t="shared" si="30"/>
        <v>0</v>
      </c>
      <c r="CM16">
        <f t="shared" si="31"/>
        <v>0</v>
      </c>
      <c r="CN16">
        <f t="shared" si="32"/>
        <v>0</v>
      </c>
      <c r="CO16">
        <f t="shared" si="33"/>
        <v>0</v>
      </c>
      <c r="CP16">
        <f t="shared" si="34"/>
        <v>0</v>
      </c>
      <c r="CQ16">
        <f t="shared" si="35"/>
        <v>0</v>
      </c>
      <c r="CR16">
        <f t="shared" si="36"/>
        <v>0</v>
      </c>
      <c r="CS16">
        <f t="shared" si="37"/>
        <v>0</v>
      </c>
      <c r="CT16">
        <f t="shared" si="38"/>
        <v>0</v>
      </c>
      <c r="CU16">
        <f t="shared" si="39"/>
        <v>10</v>
      </c>
      <c r="CV16">
        <f t="shared" si="40"/>
        <v>0</v>
      </c>
      <c r="CW16">
        <f t="shared" si="41"/>
        <v>0</v>
      </c>
      <c r="CX16">
        <f t="shared" si="42"/>
        <v>3</v>
      </c>
      <c r="CY16">
        <f t="shared" si="43"/>
        <v>0</v>
      </c>
      <c r="CZ16">
        <f t="shared" si="44"/>
        <v>0</v>
      </c>
      <c r="DA16">
        <f t="shared" si="45"/>
        <v>0</v>
      </c>
      <c r="DB16">
        <f t="shared" si="46"/>
        <v>0</v>
      </c>
      <c r="DC16">
        <f t="shared" si="47"/>
        <v>0</v>
      </c>
      <c r="DD16">
        <f t="shared" si="48"/>
        <v>10</v>
      </c>
      <c r="DE16">
        <f t="shared" si="49"/>
        <v>0</v>
      </c>
      <c r="DF16">
        <f t="shared" si="50"/>
        <v>0</v>
      </c>
      <c r="DG16">
        <f t="shared" si="51"/>
        <v>3</v>
      </c>
      <c r="DH16">
        <f t="shared" si="52"/>
        <v>0</v>
      </c>
      <c r="DI16">
        <f t="shared" si="53"/>
        <v>0</v>
      </c>
      <c r="DJ16">
        <f t="shared" si="54"/>
        <v>0</v>
      </c>
      <c r="DK16">
        <f t="shared" si="55"/>
        <v>10</v>
      </c>
      <c r="DL16">
        <f t="shared" si="56"/>
        <v>0</v>
      </c>
      <c r="DM16">
        <f t="shared" si="57"/>
        <v>3</v>
      </c>
      <c r="DO16">
        <f t="shared" si="58"/>
        <v>119.5</v>
      </c>
    </row>
    <row r="17" spans="1:119" x14ac:dyDescent="0.35">
      <c r="A17" t="s">
        <v>33</v>
      </c>
      <c r="B17">
        <v>16</v>
      </c>
      <c r="C17" s="10">
        <v>1.5</v>
      </c>
      <c r="D17">
        <v>1.5</v>
      </c>
      <c r="E17">
        <v>1.5</v>
      </c>
      <c r="F17">
        <v>1.5</v>
      </c>
      <c r="G17">
        <v>1.5</v>
      </c>
      <c r="H17">
        <v>3</v>
      </c>
      <c r="I17">
        <v>0</v>
      </c>
      <c r="J17">
        <v>10</v>
      </c>
      <c r="K17">
        <v>3</v>
      </c>
      <c r="L17">
        <v>3</v>
      </c>
      <c r="M17">
        <v>4.5</v>
      </c>
      <c r="N17">
        <v>1.5</v>
      </c>
      <c r="O17">
        <v>0</v>
      </c>
      <c r="P17">
        <v>10</v>
      </c>
      <c r="Q17">
        <v>1.5</v>
      </c>
      <c r="R17">
        <v>10</v>
      </c>
      <c r="S17">
        <v>0</v>
      </c>
      <c r="T17">
        <v>1.5</v>
      </c>
      <c r="U17">
        <v>10</v>
      </c>
      <c r="V17">
        <v>1.5</v>
      </c>
      <c r="W17">
        <v>1.5</v>
      </c>
      <c r="X17">
        <v>4.5</v>
      </c>
      <c r="Y17">
        <v>1.5</v>
      </c>
      <c r="Z17">
        <v>1.5</v>
      </c>
      <c r="AA17">
        <v>1.5</v>
      </c>
      <c r="AB17">
        <v>1.5</v>
      </c>
      <c r="AC17">
        <v>3</v>
      </c>
      <c r="AD17">
        <v>3</v>
      </c>
      <c r="AE17">
        <v>0</v>
      </c>
      <c r="AF17">
        <v>0</v>
      </c>
      <c r="AG17">
        <v>3</v>
      </c>
      <c r="AH17">
        <v>10</v>
      </c>
      <c r="AI17">
        <v>3</v>
      </c>
      <c r="AJ17">
        <v>1.5</v>
      </c>
      <c r="AK17">
        <v>1.5</v>
      </c>
      <c r="AL17">
        <v>3</v>
      </c>
      <c r="AM17">
        <v>10</v>
      </c>
      <c r="AN17">
        <v>1.5</v>
      </c>
      <c r="AO17">
        <v>3</v>
      </c>
      <c r="AP17">
        <v>3</v>
      </c>
      <c r="AQ17">
        <v>1.5</v>
      </c>
      <c r="AR17">
        <v>3</v>
      </c>
      <c r="AS17">
        <v>10</v>
      </c>
      <c r="AT17">
        <v>10</v>
      </c>
      <c r="AU17">
        <v>10</v>
      </c>
      <c r="AV17">
        <v>0</v>
      </c>
      <c r="AW17">
        <v>1.5</v>
      </c>
      <c r="AX17">
        <v>1.5</v>
      </c>
      <c r="AY17">
        <v>1.5</v>
      </c>
      <c r="AZ17">
        <v>0</v>
      </c>
      <c r="BA17">
        <v>1.5</v>
      </c>
      <c r="BB17">
        <v>1.5</v>
      </c>
      <c r="BC17">
        <v>10</v>
      </c>
      <c r="BD17">
        <v>10</v>
      </c>
      <c r="BE17">
        <v>1.5</v>
      </c>
      <c r="BF17">
        <v>1.5</v>
      </c>
      <c r="BG17">
        <v>1.5</v>
      </c>
      <c r="BI17">
        <f t="shared" si="1"/>
        <v>1.5</v>
      </c>
      <c r="BJ17">
        <f t="shared" si="2"/>
        <v>0</v>
      </c>
      <c r="BK17">
        <f t="shared" si="3"/>
        <v>0</v>
      </c>
      <c r="BL17">
        <f t="shared" si="4"/>
        <v>1.5</v>
      </c>
      <c r="BM17">
        <f t="shared" si="5"/>
        <v>0</v>
      </c>
      <c r="BN17">
        <f t="shared" si="6"/>
        <v>0</v>
      </c>
      <c r="BO17">
        <f t="shared" si="7"/>
        <v>0</v>
      </c>
      <c r="BP17">
        <f t="shared" si="8"/>
        <v>10</v>
      </c>
      <c r="BQ17">
        <f t="shared" si="9"/>
        <v>3</v>
      </c>
      <c r="BR17">
        <f t="shared" si="10"/>
        <v>0</v>
      </c>
      <c r="BS17">
        <f t="shared" si="11"/>
        <v>0</v>
      </c>
      <c r="BT17">
        <f t="shared" si="12"/>
        <v>0</v>
      </c>
      <c r="BU17">
        <f t="shared" si="13"/>
        <v>0</v>
      </c>
      <c r="BV17">
        <f t="shared" si="14"/>
        <v>10</v>
      </c>
      <c r="BW17">
        <f t="shared" si="15"/>
        <v>1.5</v>
      </c>
      <c r="BX17">
        <f t="shared" si="16"/>
        <v>0</v>
      </c>
      <c r="BY17">
        <f t="shared" si="17"/>
        <v>0</v>
      </c>
      <c r="BZ17">
        <f t="shared" si="18"/>
        <v>1.5</v>
      </c>
      <c r="CA17">
        <f t="shared" si="19"/>
        <v>0</v>
      </c>
      <c r="CB17">
        <f t="shared" si="20"/>
        <v>1.5</v>
      </c>
      <c r="CC17">
        <f t="shared" si="21"/>
        <v>0</v>
      </c>
      <c r="CD17">
        <f t="shared" si="22"/>
        <v>0</v>
      </c>
      <c r="CE17">
        <f t="shared" si="23"/>
        <v>0</v>
      </c>
      <c r="CF17">
        <f t="shared" si="24"/>
        <v>0</v>
      </c>
      <c r="CG17">
        <f t="shared" si="25"/>
        <v>0</v>
      </c>
      <c r="CH17">
        <f t="shared" si="26"/>
        <v>0</v>
      </c>
      <c r="CI17">
        <f t="shared" si="27"/>
        <v>0</v>
      </c>
      <c r="CJ17">
        <f t="shared" si="28"/>
        <v>0</v>
      </c>
      <c r="CK17">
        <f t="shared" si="29"/>
        <v>0</v>
      </c>
      <c r="CL17">
        <f t="shared" si="30"/>
        <v>0</v>
      </c>
      <c r="CM17">
        <f t="shared" si="31"/>
        <v>0</v>
      </c>
      <c r="CN17">
        <f t="shared" si="32"/>
        <v>0</v>
      </c>
      <c r="CO17">
        <f t="shared" si="33"/>
        <v>0</v>
      </c>
      <c r="CP17">
        <f t="shared" si="34"/>
        <v>0</v>
      </c>
      <c r="CQ17">
        <f t="shared" si="35"/>
        <v>0</v>
      </c>
      <c r="CR17">
        <f t="shared" si="36"/>
        <v>0</v>
      </c>
      <c r="CS17">
        <f t="shared" si="37"/>
        <v>0</v>
      </c>
      <c r="CT17">
        <f t="shared" si="38"/>
        <v>0</v>
      </c>
      <c r="CU17">
        <f t="shared" si="39"/>
        <v>3</v>
      </c>
      <c r="CV17">
        <f t="shared" si="40"/>
        <v>0</v>
      </c>
      <c r="CW17">
        <f t="shared" si="41"/>
        <v>0</v>
      </c>
      <c r="CX17">
        <f t="shared" si="42"/>
        <v>3</v>
      </c>
      <c r="CY17">
        <f t="shared" si="43"/>
        <v>0</v>
      </c>
      <c r="CZ17">
        <f t="shared" si="44"/>
        <v>0</v>
      </c>
      <c r="DA17">
        <f t="shared" si="45"/>
        <v>0</v>
      </c>
      <c r="DB17">
        <f t="shared" si="46"/>
        <v>0</v>
      </c>
      <c r="DC17">
        <f t="shared" si="47"/>
        <v>0</v>
      </c>
      <c r="DD17">
        <f t="shared" si="48"/>
        <v>1.5</v>
      </c>
      <c r="DE17">
        <f t="shared" si="49"/>
        <v>0</v>
      </c>
      <c r="DF17">
        <f t="shared" si="50"/>
        <v>0</v>
      </c>
      <c r="DG17">
        <f t="shared" si="51"/>
        <v>1.5</v>
      </c>
      <c r="DH17">
        <f t="shared" si="52"/>
        <v>0</v>
      </c>
      <c r="DI17">
        <f t="shared" si="53"/>
        <v>0</v>
      </c>
      <c r="DJ17">
        <f t="shared" si="54"/>
        <v>0</v>
      </c>
      <c r="DK17">
        <f t="shared" si="55"/>
        <v>1.5</v>
      </c>
      <c r="DL17">
        <f t="shared" si="56"/>
        <v>0</v>
      </c>
      <c r="DM17">
        <f t="shared" si="57"/>
        <v>1.5</v>
      </c>
      <c r="DO17">
        <f t="shared" si="58"/>
        <v>42.5</v>
      </c>
    </row>
    <row r="18" spans="1:119" x14ac:dyDescent="0.35">
      <c r="A18" t="s">
        <v>34</v>
      </c>
      <c r="B18">
        <v>17</v>
      </c>
      <c r="C18" s="10">
        <v>3</v>
      </c>
      <c r="D18">
        <v>3</v>
      </c>
      <c r="E18">
        <v>1.5</v>
      </c>
      <c r="F18">
        <v>1.5</v>
      </c>
      <c r="G18">
        <v>0</v>
      </c>
      <c r="H18">
        <v>3</v>
      </c>
      <c r="I18">
        <v>3</v>
      </c>
      <c r="J18">
        <v>0</v>
      </c>
      <c r="K18">
        <v>6</v>
      </c>
      <c r="L18">
        <v>3</v>
      </c>
      <c r="M18">
        <v>1.5</v>
      </c>
      <c r="N18">
        <v>0</v>
      </c>
      <c r="O18">
        <v>3</v>
      </c>
      <c r="P18">
        <v>1.5</v>
      </c>
      <c r="Q18">
        <v>10</v>
      </c>
      <c r="R18">
        <v>0</v>
      </c>
      <c r="S18">
        <v>10</v>
      </c>
      <c r="T18">
        <v>1.5</v>
      </c>
      <c r="U18">
        <v>1.5</v>
      </c>
      <c r="V18">
        <v>3</v>
      </c>
      <c r="W18">
        <v>10</v>
      </c>
      <c r="X18">
        <v>3</v>
      </c>
      <c r="Y18">
        <v>3</v>
      </c>
      <c r="Z18">
        <v>10</v>
      </c>
      <c r="AA18">
        <v>3</v>
      </c>
      <c r="AB18">
        <v>3</v>
      </c>
      <c r="AC18">
        <v>1.5</v>
      </c>
      <c r="AD18">
        <v>1.5</v>
      </c>
      <c r="AE18">
        <v>1.5</v>
      </c>
      <c r="AF18">
        <v>10</v>
      </c>
      <c r="AG18">
        <v>10</v>
      </c>
      <c r="AH18">
        <v>1.5</v>
      </c>
      <c r="AI18">
        <v>0</v>
      </c>
      <c r="AJ18">
        <v>10</v>
      </c>
      <c r="AK18">
        <v>3</v>
      </c>
      <c r="AL18">
        <v>4.5</v>
      </c>
      <c r="AM18">
        <v>3</v>
      </c>
      <c r="AN18">
        <v>10</v>
      </c>
      <c r="AO18">
        <v>3</v>
      </c>
      <c r="AP18">
        <v>3</v>
      </c>
      <c r="AQ18">
        <v>3</v>
      </c>
      <c r="AR18">
        <v>1.5</v>
      </c>
      <c r="AS18">
        <v>1.5</v>
      </c>
      <c r="AT18">
        <v>1.5</v>
      </c>
      <c r="AU18">
        <v>1.5</v>
      </c>
      <c r="AV18">
        <v>3</v>
      </c>
      <c r="AW18">
        <v>1.5</v>
      </c>
      <c r="AX18">
        <v>10</v>
      </c>
      <c r="AY18">
        <v>1.5</v>
      </c>
      <c r="AZ18">
        <v>1.5</v>
      </c>
      <c r="BA18">
        <v>1.5</v>
      </c>
      <c r="BB18">
        <v>10</v>
      </c>
      <c r="BC18">
        <v>1.5</v>
      </c>
      <c r="BD18">
        <v>0</v>
      </c>
      <c r="BE18">
        <v>3</v>
      </c>
      <c r="BF18">
        <v>1.5</v>
      </c>
      <c r="BG18">
        <v>1.5</v>
      </c>
      <c r="BI18">
        <f t="shared" si="1"/>
        <v>3</v>
      </c>
      <c r="BJ18">
        <f t="shared" si="2"/>
        <v>0</v>
      </c>
      <c r="BK18">
        <f t="shared" si="3"/>
        <v>0</v>
      </c>
      <c r="BL18">
        <f t="shared" si="4"/>
        <v>1.5</v>
      </c>
      <c r="BM18">
        <f t="shared" si="5"/>
        <v>0</v>
      </c>
      <c r="BN18">
        <f t="shared" si="6"/>
        <v>0</v>
      </c>
      <c r="BO18">
        <f t="shared" si="7"/>
        <v>3</v>
      </c>
      <c r="BP18">
        <f t="shared" si="8"/>
        <v>0</v>
      </c>
      <c r="BQ18">
        <f t="shared" si="9"/>
        <v>6</v>
      </c>
      <c r="BR18">
        <f t="shared" si="10"/>
        <v>0</v>
      </c>
      <c r="BS18">
        <f t="shared" si="11"/>
        <v>0</v>
      </c>
      <c r="BT18">
        <f t="shared" si="12"/>
        <v>0</v>
      </c>
      <c r="BU18">
        <f t="shared" si="13"/>
        <v>0</v>
      </c>
      <c r="BV18">
        <f t="shared" si="14"/>
        <v>1.5</v>
      </c>
      <c r="BW18">
        <f t="shared" si="15"/>
        <v>10</v>
      </c>
      <c r="BX18">
        <f t="shared" si="16"/>
        <v>0</v>
      </c>
      <c r="BY18">
        <f t="shared" si="17"/>
        <v>10</v>
      </c>
      <c r="BZ18">
        <f t="shared" si="18"/>
        <v>1.5</v>
      </c>
      <c r="CA18">
        <f t="shared" si="19"/>
        <v>0</v>
      </c>
      <c r="CB18">
        <f t="shared" si="20"/>
        <v>3</v>
      </c>
      <c r="CC18">
        <f t="shared" si="21"/>
        <v>0</v>
      </c>
      <c r="CD18">
        <f t="shared" si="22"/>
        <v>0</v>
      </c>
      <c r="CE18">
        <f t="shared" si="23"/>
        <v>0</v>
      </c>
      <c r="CF18">
        <f t="shared" si="24"/>
        <v>0</v>
      </c>
      <c r="CG18">
        <f t="shared" si="25"/>
        <v>0</v>
      </c>
      <c r="CH18">
        <f t="shared" si="26"/>
        <v>0</v>
      </c>
      <c r="CI18">
        <f t="shared" si="27"/>
        <v>0</v>
      </c>
      <c r="CJ18">
        <f t="shared" si="28"/>
        <v>0</v>
      </c>
      <c r="CK18">
        <f t="shared" si="29"/>
        <v>0</v>
      </c>
      <c r="CL18">
        <f t="shared" si="30"/>
        <v>0</v>
      </c>
      <c r="CM18">
        <f t="shared" si="31"/>
        <v>0</v>
      </c>
      <c r="CN18">
        <f t="shared" si="32"/>
        <v>0</v>
      </c>
      <c r="CO18">
        <f t="shared" si="33"/>
        <v>0</v>
      </c>
      <c r="CP18">
        <f t="shared" si="34"/>
        <v>0</v>
      </c>
      <c r="CQ18">
        <f t="shared" si="35"/>
        <v>0</v>
      </c>
      <c r="CR18">
        <f t="shared" si="36"/>
        <v>0</v>
      </c>
      <c r="CS18">
        <f t="shared" si="37"/>
        <v>0</v>
      </c>
      <c r="CT18">
        <f t="shared" si="38"/>
        <v>0</v>
      </c>
      <c r="CU18">
        <f t="shared" si="39"/>
        <v>3</v>
      </c>
      <c r="CV18">
        <f t="shared" si="40"/>
        <v>0</v>
      </c>
      <c r="CW18">
        <f t="shared" si="41"/>
        <v>0</v>
      </c>
      <c r="CX18">
        <f t="shared" si="42"/>
        <v>1.5</v>
      </c>
      <c r="CY18">
        <f t="shared" si="43"/>
        <v>0</v>
      </c>
      <c r="CZ18">
        <f t="shared" si="44"/>
        <v>0</v>
      </c>
      <c r="DA18">
        <f t="shared" si="45"/>
        <v>0</v>
      </c>
      <c r="DB18">
        <f t="shared" si="46"/>
        <v>0</v>
      </c>
      <c r="DC18">
        <f t="shared" si="47"/>
        <v>0</v>
      </c>
      <c r="DD18">
        <f t="shared" si="48"/>
        <v>10</v>
      </c>
      <c r="DE18">
        <f t="shared" si="49"/>
        <v>0</v>
      </c>
      <c r="DF18">
        <f t="shared" si="50"/>
        <v>0</v>
      </c>
      <c r="DG18">
        <f t="shared" si="51"/>
        <v>1.5</v>
      </c>
      <c r="DH18">
        <f t="shared" si="52"/>
        <v>0</v>
      </c>
      <c r="DI18">
        <f t="shared" si="53"/>
        <v>0</v>
      </c>
      <c r="DJ18">
        <f t="shared" si="54"/>
        <v>0</v>
      </c>
      <c r="DK18">
        <f t="shared" si="55"/>
        <v>3</v>
      </c>
      <c r="DL18">
        <f t="shared" si="56"/>
        <v>0</v>
      </c>
      <c r="DM18">
        <f t="shared" si="57"/>
        <v>1.5</v>
      </c>
      <c r="DO18">
        <f t="shared" si="58"/>
        <v>60</v>
      </c>
    </row>
    <row r="19" spans="1:119" x14ac:dyDescent="0.35">
      <c r="A19" t="s">
        <v>35</v>
      </c>
      <c r="B19">
        <v>18</v>
      </c>
      <c r="C19" s="10">
        <v>10</v>
      </c>
      <c r="D19">
        <v>1.5</v>
      </c>
      <c r="E19">
        <v>1.5</v>
      </c>
      <c r="F19">
        <v>0</v>
      </c>
      <c r="G19">
        <v>10</v>
      </c>
      <c r="H19">
        <v>1.5</v>
      </c>
      <c r="I19">
        <v>10</v>
      </c>
      <c r="J19">
        <v>10</v>
      </c>
      <c r="K19">
        <v>1.5</v>
      </c>
      <c r="L19">
        <v>1.5</v>
      </c>
      <c r="M19">
        <v>3</v>
      </c>
      <c r="N19">
        <v>1.5</v>
      </c>
      <c r="O19">
        <v>1.5</v>
      </c>
      <c r="P19">
        <v>0</v>
      </c>
      <c r="Q19">
        <v>10</v>
      </c>
      <c r="R19">
        <v>1.5</v>
      </c>
      <c r="S19">
        <v>1.5</v>
      </c>
      <c r="T19">
        <v>10</v>
      </c>
      <c r="U19">
        <v>1.5</v>
      </c>
      <c r="V19">
        <v>10</v>
      </c>
      <c r="W19">
        <v>1.5</v>
      </c>
      <c r="X19">
        <v>1.5</v>
      </c>
      <c r="Y19">
        <v>0</v>
      </c>
      <c r="Z19">
        <v>3</v>
      </c>
      <c r="AA19">
        <v>3</v>
      </c>
      <c r="AB19">
        <v>1.5</v>
      </c>
      <c r="AC19">
        <v>1.5</v>
      </c>
      <c r="AD19">
        <v>4.5</v>
      </c>
      <c r="AE19">
        <v>1.5</v>
      </c>
      <c r="AF19">
        <v>0</v>
      </c>
      <c r="AG19">
        <v>3</v>
      </c>
      <c r="AH19">
        <v>1.5</v>
      </c>
      <c r="AI19">
        <v>10</v>
      </c>
      <c r="AJ19">
        <v>1.5</v>
      </c>
      <c r="AK19">
        <v>0</v>
      </c>
      <c r="AL19">
        <v>1.5</v>
      </c>
      <c r="AM19">
        <v>1.5</v>
      </c>
      <c r="AN19">
        <v>3</v>
      </c>
      <c r="AO19">
        <v>10</v>
      </c>
      <c r="AP19">
        <v>3</v>
      </c>
      <c r="AQ19">
        <v>1.5</v>
      </c>
      <c r="AR19">
        <v>1.5</v>
      </c>
      <c r="AS19">
        <v>1.5</v>
      </c>
      <c r="AT19">
        <v>3</v>
      </c>
      <c r="AU19">
        <v>0</v>
      </c>
      <c r="AV19">
        <v>1.5</v>
      </c>
      <c r="AW19">
        <v>0</v>
      </c>
      <c r="AX19">
        <v>1.5</v>
      </c>
      <c r="AY19">
        <v>3</v>
      </c>
      <c r="AZ19">
        <v>1.5</v>
      </c>
      <c r="BA19">
        <v>4.5</v>
      </c>
      <c r="BB19">
        <v>3</v>
      </c>
      <c r="BC19">
        <v>1.5</v>
      </c>
      <c r="BD19">
        <v>3</v>
      </c>
      <c r="BE19">
        <v>10</v>
      </c>
      <c r="BF19">
        <v>1.5</v>
      </c>
      <c r="BG19">
        <v>1.5</v>
      </c>
      <c r="BI19">
        <f t="shared" si="1"/>
        <v>10</v>
      </c>
      <c r="BJ19">
        <f t="shared" si="2"/>
        <v>0</v>
      </c>
      <c r="BK19">
        <f t="shared" si="3"/>
        <v>0</v>
      </c>
      <c r="BL19">
        <f t="shared" si="4"/>
        <v>0</v>
      </c>
      <c r="BM19">
        <f t="shared" si="5"/>
        <v>0</v>
      </c>
      <c r="BN19">
        <f t="shared" si="6"/>
        <v>0</v>
      </c>
      <c r="BO19">
        <f t="shared" si="7"/>
        <v>10</v>
      </c>
      <c r="BP19">
        <f t="shared" si="8"/>
        <v>10</v>
      </c>
      <c r="BQ19">
        <f t="shared" si="9"/>
        <v>1.5</v>
      </c>
      <c r="BR19">
        <f t="shared" si="10"/>
        <v>0</v>
      </c>
      <c r="BS19">
        <f t="shared" si="11"/>
        <v>0</v>
      </c>
      <c r="BT19">
        <f t="shared" si="12"/>
        <v>0</v>
      </c>
      <c r="BU19">
        <f t="shared" si="13"/>
        <v>0</v>
      </c>
      <c r="BV19">
        <f t="shared" si="14"/>
        <v>0</v>
      </c>
      <c r="BW19">
        <f t="shared" si="15"/>
        <v>10</v>
      </c>
      <c r="BX19">
        <f t="shared" si="16"/>
        <v>0</v>
      </c>
      <c r="BY19">
        <f t="shared" si="17"/>
        <v>1.5</v>
      </c>
      <c r="BZ19">
        <f t="shared" si="18"/>
        <v>10</v>
      </c>
      <c r="CA19">
        <f t="shared" si="19"/>
        <v>0</v>
      </c>
      <c r="CB19">
        <f t="shared" si="20"/>
        <v>10</v>
      </c>
      <c r="CC19">
        <f t="shared" si="21"/>
        <v>0</v>
      </c>
      <c r="CD19">
        <f t="shared" si="22"/>
        <v>0</v>
      </c>
      <c r="CE19">
        <f t="shared" si="23"/>
        <v>0</v>
      </c>
      <c r="CF19">
        <f t="shared" si="24"/>
        <v>0</v>
      </c>
      <c r="CG19">
        <f t="shared" si="25"/>
        <v>0</v>
      </c>
      <c r="CH19">
        <f t="shared" si="26"/>
        <v>0</v>
      </c>
      <c r="CI19">
        <f t="shared" si="27"/>
        <v>0</v>
      </c>
      <c r="CJ19">
        <f t="shared" si="28"/>
        <v>0</v>
      </c>
      <c r="CK19">
        <f t="shared" si="29"/>
        <v>0</v>
      </c>
      <c r="CL19">
        <f t="shared" si="30"/>
        <v>0</v>
      </c>
      <c r="CM19">
        <f t="shared" si="31"/>
        <v>0</v>
      </c>
      <c r="CN19">
        <f t="shared" si="32"/>
        <v>0</v>
      </c>
      <c r="CO19">
        <f t="shared" si="33"/>
        <v>0</v>
      </c>
      <c r="CP19">
        <f t="shared" si="34"/>
        <v>0</v>
      </c>
      <c r="CQ19">
        <f t="shared" si="35"/>
        <v>0</v>
      </c>
      <c r="CR19">
        <f t="shared" si="36"/>
        <v>0</v>
      </c>
      <c r="CS19">
        <f t="shared" si="37"/>
        <v>0</v>
      </c>
      <c r="CT19">
        <f t="shared" si="38"/>
        <v>0</v>
      </c>
      <c r="CU19">
        <f t="shared" si="39"/>
        <v>10</v>
      </c>
      <c r="CV19">
        <f t="shared" si="40"/>
        <v>0</v>
      </c>
      <c r="CW19">
        <f t="shared" si="41"/>
        <v>0</v>
      </c>
      <c r="CX19">
        <f t="shared" si="42"/>
        <v>1.5</v>
      </c>
      <c r="CY19">
        <f t="shared" si="43"/>
        <v>0</v>
      </c>
      <c r="CZ19">
        <f t="shared" si="44"/>
        <v>0</v>
      </c>
      <c r="DA19">
        <f t="shared" si="45"/>
        <v>0</v>
      </c>
      <c r="DB19">
        <f t="shared" si="46"/>
        <v>0</v>
      </c>
      <c r="DC19">
        <f t="shared" si="47"/>
        <v>0</v>
      </c>
      <c r="DD19">
        <f t="shared" si="48"/>
        <v>1.5</v>
      </c>
      <c r="DE19">
        <f t="shared" si="49"/>
        <v>0</v>
      </c>
      <c r="DF19">
        <f t="shared" si="50"/>
        <v>0</v>
      </c>
      <c r="DG19">
        <f t="shared" si="51"/>
        <v>4.5</v>
      </c>
      <c r="DH19">
        <f t="shared" si="52"/>
        <v>0</v>
      </c>
      <c r="DI19">
        <f t="shared" si="53"/>
        <v>0</v>
      </c>
      <c r="DJ19">
        <f t="shared" si="54"/>
        <v>0</v>
      </c>
      <c r="DK19">
        <f t="shared" si="55"/>
        <v>10</v>
      </c>
      <c r="DL19">
        <f t="shared" si="56"/>
        <v>0</v>
      </c>
      <c r="DM19">
        <f t="shared" si="57"/>
        <v>1.5</v>
      </c>
      <c r="DO19">
        <f t="shared" si="58"/>
        <v>92</v>
      </c>
    </row>
    <row r="20" spans="1:119" x14ac:dyDescent="0.35">
      <c r="A20" t="s">
        <v>21</v>
      </c>
      <c r="B20">
        <v>19</v>
      </c>
      <c r="C20" s="10">
        <v>3</v>
      </c>
      <c r="D20">
        <v>0</v>
      </c>
      <c r="E20">
        <v>0</v>
      </c>
      <c r="F20">
        <v>0</v>
      </c>
      <c r="G20">
        <v>0</v>
      </c>
      <c r="H20">
        <v>1.5</v>
      </c>
      <c r="I20">
        <v>1.5</v>
      </c>
      <c r="J20">
        <v>1.5</v>
      </c>
      <c r="K20">
        <v>1.5</v>
      </c>
      <c r="L20">
        <v>10</v>
      </c>
      <c r="M20">
        <v>10</v>
      </c>
      <c r="N20">
        <v>0</v>
      </c>
      <c r="O20">
        <v>0</v>
      </c>
      <c r="P20">
        <v>3</v>
      </c>
      <c r="Q20">
        <v>3</v>
      </c>
      <c r="R20">
        <v>10</v>
      </c>
      <c r="S20">
        <v>1.5</v>
      </c>
      <c r="T20">
        <v>1.5</v>
      </c>
      <c r="U20">
        <v>10</v>
      </c>
      <c r="V20">
        <v>3</v>
      </c>
      <c r="W20">
        <v>3</v>
      </c>
      <c r="X20">
        <v>10</v>
      </c>
      <c r="Y20">
        <v>1.5</v>
      </c>
      <c r="Z20">
        <v>1.5</v>
      </c>
      <c r="AA20">
        <v>3</v>
      </c>
      <c r="AB20">
        <v>0</v>
      </c>
      <c r="AC20">
        <v>1.5</v>
      </c>
      <c r="AD20">
        <v>1.5</v>
      </c>
      <c r="AE20">
        <v>0</v>
      </c>
      <c r="AF20">
        <v>1.5</v>
      </c>
      <c r="AG20">
        <v>10</v>
      </c>
      <c r="AH20">
        <v>3</v>
      </c>
      <c r="AI20">
        <v>1.5</v>
      </c>
      <c r="AJ20">
        <v>1.5</v>
      </c>
      <c r="AK20">
        <v>3</v>
      </c>
      <c r="AL20">
        <v>1.5</v>
      </c>
      <c r="AM20">
        <v>3</v>
      </c>
      <c r="AN20">
        <v>1.5</v>
      </c>
      <c r="AO20">
        <v>10</v>
      </c>
      <c r="AP20">
        <v>1.5</v>
      </c>
      <c r="AQ20">
        <v>0</v>
      </c>
      <c r="AR20">
        <v>1.5</v>
      </c>
      <c r="AS20">
        <v>10</v>
      </c>
      <c r="AT20">
        <v>10</v>
      </c>
      <c r="AU20">
        <v>10</v>
      </c>
      <c r="AV20">
        <v>1.5</v>
      </c>
      <c r="AW20">
        <v>1.5</v>
      </c>
      <c r="AX20">
        <v>1.5</v>
      </c>
      <c r="AY20">
        <v>1.5</v>
      </c>
      <c r="AZ20">
        <v>0</v>
      </c>
      <c r="BA20">
        <v>1.5</v>
      </c>
      <c r="BB20">
        <v>3</v>
      </c>
      <c r="BC20">
        <v>3</v>
      </c>
      <c r="BD20">
        <v>3</v>
      </c>
      <c r="BE20">
        <v>1.5</v>
      </c>
      <c r="BF20">
        <v>1.5</v>
      </c>
      <c r="BG20">
        <v>0</v>
      </c>
      <c r="BI20">
        <f t="shared" si="1"/>
        <v>3</v>
      </c>
      <c r="BJ20">
        <f t="shared" si="2"/>
        <v>0</v>
      </c>
      <c r="BK20">
        <f t="shared" si="3"/>
        <v>0</v>
      </c>
      <c r="BL20">
        <f t="shared" si="4"/>
        <v>0</v>
      </c>
      <c r="BM20">
        <f t="shared" si="5"/>
        <v>0</v>
      </c>
      <c r="BN20">
        <f t="shared" si="6"/>
        <v>0</v>
      </c>
      <c r="BO20">
        <f t="shared" si="7"/>
        <v>1.5</v>
      </c>
      <c r="BP20">
        <f t="shared" si="8"/>
        <v>1.5</v>
      </c>
      <c r="BQ20">
        <f t="shared" si="9"/>
        <v>1.5</v>
      </c>
      <c r="BR20">
        <f t="shared" si="10"/>
        <v>0</v>
      </c>
      <c r="BS20">
        <f t="shared" si="11"/>
        <v>0</v>
      </c>
      <c r="BT20">
        <f t="shared" si="12"/>
        <v>0</v>
      </c>
      <c r="BU20">
        <f t="shared" si="13"/>
        <v>0</v>
      </c>
      <c r="BV20">
        <f t="shared" si="14"/>
        <v>3</v>
      </c>
      <c r="BW20">
        <f t="shared" si="15"/>
        <v>3</v>
      </c>
      <c r="BX20">
        <f t="shared" si="16"/>
        <v>0</v>
      </c>
      <c r="BY20">
        <f t="shared" si="17"/>
        <v>1.5</v>
      </c>
      <c r="BZ20">
        <f t="shared" si="18"/>
        <v>1.5</v>
      </c>
      <c r="CA20">
        <f t="shared" si="19"/>
        <v>0</v>
      </c>
      <c r="CB20">
        <f t="shared" si="20"/>
        <v>3</v>
      </c>
      <c r="CC20">
        <f t="shared" si="21"/>
        <v>0</v>
      </c>
      <c r="CD20">
        <f t="shared" si="22"/>
        <v>0</v>
      </c>
      <c r="CE20">
        <f t="shared" si="23"/>
        <v>0</v>
      </c>
      <c r="CF20">
        <f t="shared" si="24"/>
        <v>0</v>
      </c>
      <c r="CG20">
        <f t="shared" si="25"/>
        <v>0</v>
      </c>
      <c r="CH20">
        <f t="shared" si="26"/>
        <v>0</v>
      </c>
      <c r="CI20">
        <f t="shared" si="27"/>
        <v>0</v>
      </c>
      <c r="CJ20">
        <f t="shared" si="28"/>
        <v>0</v>
      </c>
      <c r="CK20">
        <f t="shared" si="29"/>
        <v>0</v>
      </c>
      <c r="CL20">
        <f t="shared" si="30"/>
        <v>0</v>
      </c>
      <c r="CM20">
        <f t="shared" si="31"/>
        <v>0</v>
      </c>
      <c r="CN20">
        <f t="shared" si="32"/>
        <v>0</v>
      </c>
      <c r="CO20">
        <f t="shared" si="33"/>
        <v>0</v>
      </c>
      <c r="CP20">
        <f t="shared" si="34"/>
        <v>0</v>
      </c>
      <c r="CQ20">
        <f t="shared" si="35"/>
        <v>0</v>
      </c>
      <c r="CR20">
        <f t="shared" si="36"/>
        <v>0</v>
      </c>
      <c r="CS20">
        <f t="shared" si="37"/>
        <v>0</v>
      </c>
      <c r="CT20">
        <f t="shared" si="38"/>
        <v>0</v>
      </c>
      <c r="CU20">
        <f t="shared" si="39"/>
        <v>10</v>
      </c>
      <c r="CV20">
        <f t="shared" si="40"/>
        <v>0</v>
      </c>
      <c r="CW20">
        <f t="shared" si="41"/>
        <v>0</v>
      </c>
      <c r="CX20">
        <f t="shared" si="42"/>
        <v>1.5</v>
      </c>
      <c r="CY20">
        <f t="shared" si="43"/>
        <v>0</v>
      </c>
      <c r="CZ20">
        <f t="shared" si="44"/>
        <v>0</v>
      </c>
      <c r="DA20">
        <f t="shared" si="45"/>
        <v>0</v>
      </c>
      <c r="DB20">
        <f t="shared" si="46"/>
        <v>0</v>
      </c>
      <c r="DC20">
        <f t="shared" si="47"/>
        <v>0</v>
      </c>
      <c r="DD20">
        <f t="shared" si="48"/>
        <v>1.5</v>
      </c>
      <c r="DE20">
        <f t="shared" si="49"/>
        <v>0</v>
      </c>
      <c r="DF20">
        <f t="shared" si="50"/>
        <v>0</v>
      </c>
      <c r="DG20">
        <f t="shared" si="51"/>
        <v>1.5</v>
      </c>
      <c r="DH20">
        <f t="shared" si="52"/>
        <v>0</v>
      </c>
      <c r="DI20">
        <f t="shared" si="53"/>
        <v>0</v>
      </c>
      <c r="DJ20">
        <f t="shared" si="54"/>
        <v>0</v>
      </c>
      <c r="DK20">
        <f t="shared" si="55"/>
        <v>1.5</v>
      </c>
      <c r="DL20">
        <f t="shared" si="56"/>
        <v>0</v>
      </c>
      <c r="DM20">
        <f t="shared" si="57"/>
        <v>0</v>
      </c>
      <c r="DO20">
        <f t="shared" si="58"/>
        <v>35.5</v>
      </c>
    </row>
    <row r="21" spans="1:119" x14ac:dyDescent="0.35">
      <c r="A21" t="s">
        <v>36</v>
      </c>
      <c r="B21">
        <v>20</v>
      </c>
      <c r="C21" s="10">
        <v>10</v>
      </c>
      <c r="D21">
        <v>3</v>
      </c>
      <c r="E21">
        <v>3</v>
      </c>
      <c r="F21">
        <v>1.5</v>
      </c>
      <c r="G21">
        <v>3</v>
      </c>
      <c r="H21">
        <v>1.5</v>
      </c>
      <c r="I21">
        <v>10</v>
      </c>
      <c r="J21">
        <v>3</v>
      </c>
      <c r="K21">
        <v>3</v>
      </c>
      <c r="L21">
        <v>3</v>
      </c>
      <c r="M21">
        <v>1.5</v>
      </c>
      <c r="N21">
        <v>1.5</v>
      </c>
      <c r="O21">
        <v>3</v>
      </c>
      <c r="P21">
        <v>0</v>
      </c>
      <c r="Q21">
        <v>10</v>
      </c>
      <c r="R21">
        <v>1.5</v>
      </c>
      <c r="S21">
        <v>3</v>
      </c>
      <c r="T21">
        <v>10</v>
      </c>
      <c r="U21">
        <v>3</v>
      </c>
      <c r="V21">
        <v>10</v>
      </c>
      <c r="W21">
        <v>1.5</v>
      </c>
      <c r="X21">
        <v>1.5</v>
      </c>
      <c r="Y21">
        <v>1.5</v>
      </c>
      <c r="Z21">
        <v>3</v>
      </c>
      <c r="AA21">
        <v>10</v>
      </c>
      <c r="AB21">
        <v>1.5</v>
      </c>
      <c r="AC21">
        <v>1.5</v>
      </c>
      <c r="AD21">
        <v>10</v>
      </c>
      <c r="AE21">
        <v>1.5</v>
      </c>
      <c r="AF21">
        <v>3</v>
      </c>
      <c r="AG21">
        <v>3</v>
      </c>
      <c r="AH21">
        <v>0</v>
      </c>
      <c r="AI21">
        <v>1.5</v>
      </c>
      <c r="AJ21">
        <v>1.5</v>
      </c>
      <c r="AK21">
        <v>1.5</v>
      </c>
      <c r="AL21">
        <v>1.5</v>
      </c>
      <c r="AM21">
        <v>1.5</v>
      </c>
      <c r="AN21">
        <v>10</v>
      </c>
      <c r="AO21">
        <v>10</v>
      </c>
      <c r="AP21">
        <v>3</v>
      </c>
      <c r="AQ21">
        <v>1.5</v>
      </c>
      <c r="AR21">
        <v>0</v>
      </c>
      <c r="AS21">
        <v>1.5</v>
      </c>
      <c r="AT21">
        <v>10</v>
      </c>
      <c r="AU21">
        <v>1.5</v>
      </c>
      <c r="AV21">
        <v>3</v>
      </c>
      <c r="AW21">
        <v>0</v>
      </c>
      <c r="AX21">
        <v>1.5</v>
      </c>
      <c r="AY21">
        <v>10</v>
      </c>
      <c r="AZ21">
        <v>3</v>
      </c>
      <c r="BA21">
        <v>10</v>
      </c>
      <c r="BB21">
        <v>3</v>
      </c>
      <c r="BC21">
        <v>1.5</v>
      </c>
      <c r="BD21">
        <v>0</v>
      </c>
      <c r="BE21">
        <v>10</v>
      </c>
      <c r="BF21">
        <v>1.5</v>
      </c>
      <c r="BG21">
        <v>1.5</v>
      </c>
      <c r="BI21">
        <f t="shared" si="1"/>
        <v>10</v>
      </c>
      <c r="BJ21">
        <f t="shared" si="2"/>
        <v>0</v>
      </c>
      <c r="BK21">
        <f t="shared" si="3"/>
        <v>0</v>
      </c>
      <c r="BL21">
        <f t="shared" si="4"/>
        <v>1.5</v>
      </c>
      <c r="BM21">
        <f t="shared" si="5"/>
        <v>0</v>
      </c>
      <c r="BN21">
        <f t="shared" si="6"/>
        <v>0</v>
      </c>
      <c r="BO21">
        <f t="shared" si="7"/>
        <v>10</v>
      </c>
      <c r="BP21">
        <f t="shared" si="8"/>
        <v>3</v>
      </c>
      <c r="BQ21">
        <f t="shared" si="9"/>
        <v>3</v>
      </c>
      <c r="BR21">
        <f t="shared" si="10"/>
        <v>0</v>
      </c>
      <c r="BS21">
        <f t="shared" si="11"/>
        <v>0</v>
      </c>
      <c r="BT21">
        <f t="shared" si="12"/>
        <v>0</v>
      </c>
      <c r="BU21">
        <f t="shared" si="13"/>
        <v>0</v>
      </c>
      <c r="BV21">
        <f t="shared" si="14"/>
        <v>0</v>
      </c>
      <c r="BW21">
        <f t="shared" si="15"/>
        <v>10</v>
      </c>
      <c r="BX21">
        <f t="shared" si="16"/>
        <v>0</v>
      </c>
      <c r="BY21">
        <f t="shared" si="17"/>
        <v>3</v>
      </c>
      <c r="BZ21">
        <f t="shared" si="18"/>
        <v>10</v>
      </c>
      <c r="CA21">
        <f t="shared" si="19"/>
        <v>0</v>
      </c>
      <c r="CB21">
        <f t="shared" si="20"/>
        <v>10</v>
      </c>
      <c r="CC21">
        <f t="shared" si="21"/>
        <v>0</v>
      </c>
      <c r="CD21">
        <f t="shared" si="22"/>
        <v>0</v>
      </c>
      <c r="CE21">
        <f t="shared" si="23"/>
        <v>0</v>
      </c>
      <c r="CF21">
        <f t="shared" si="24"/>
        <v>0</v>
      </c>
      <c r="CG21">
        <f t="shared" si="25"/>
        <v>0</v>
      </c>
      <c r="CH21">
        <f t="shared" si="26"/>
        <v>0</v>
      </c>
      <c r="CI21">
        <f t="shared" si="27"/>
        <v>0</v>
      </c>
      <c r="CJ21">
        <f t="shared" si="28"/>
        <v>0</v>
      </c>
      <c r="CK21">
        <f t="shared" si="29"/>
        <v>0</v>
      </c>
      <c r="CL21">
        <f t="shared" si="30"/>
        <v>0</v>
      </c>
      <c r="CM21">
        <f t="shared" si="31"/>
        <v>0</v>
      </c>
      <c r="CN21">
        <f t="shared" si="32"/>
        <v>0</v>
      </c>
      <c r="CO21">
        <f t="shared" si="33"/>
        <v>0</v>
      </c>
      <c r="CP21">
        <f t="shared" si="34"/>
        <v>0</v>
      </c>
      <c r="CQ21">
        <f t="shared" si="35"/>
        <v>0</v>
      </c>
      <c r="CR21">
        <f t="shared" si="36"/>
        <v>0</v>
      </c>
      <c r="CS21">
        <f t="shared" si="37"/>
        <v>0</v>
      </c>
      <c r="CT21">
        <f t="shared" si="38"/>
        <v>0</v>
      </c>
      <c r="CU21">
        <f t="shared" si="39"/>
        <v>10</v>
      </c>
      <c r="CV21">
        <f t="shared" si="40"/>
        <v>0</v>
      </c>
      <c r="CW21">
        <f t="shared" si="41"/>
        <v>0</v>
      </c>
      <c r="CX21">
        <f t="shared" si="42"/>
        <v>0</v>
      </c>
      <c r="CY21">
        <f t="shared" si="43"/>
        <v>0</v>
      </c>
      <c r="CZ21">
        <f t="shared" si="44"/>
        <v>0</v>
      </c>
      <c r="DA21">
        <f t="shared" si="45"/>
        <v>0</v>
      </c>
      <c r="DB21">
        <f t="shared" si="46"/>
        <v>0</v>
      </c>
      <c r="DC21">
        <f t="shared" si="47"/>
        <v>0</v>
      </c>
      <c r="DD21">
        <f t="shared" si="48"/>
        <v>1.5</v>
      </c>
      <c r="DE21">
        <f t="shared" si="49"/>
        <v>0</v>
      </c>
      <c r="DF21">
        <f t="shared" si="50"/>
        <v>0</v>
      </c>
      <c r="DG21">
        <f t="shared" si="51"/>
        <v>10</v>
      </c>
      <c r="DH21">
        <f t="shared" si="52"/>
        <v>0</v>
      </c>
      <c r="DI21">
        <f t="shared" si="53"/>
        <v>0</v>
      </c>
      <c r="DJ21">
        <f t="shared" si="54"/>
        <v>0</v>
      </c>
      <c r="DK21">
        <f t="shared" si="55"/>
        <v>10</v>
      </c>
      <c r="DL21">
        <f t="shared" si="56"/>
        <v>0</v>
      </c>
      <c r="DM21">
        <f t="shared" si="57"/>
        <v>1.5</v>
      </c>
      <c r="DO21">
        <f t="shared" si="58"/>
        <v>93.5</v>
      </c>
    </row>
    <row r="22" spans="1:119" x14ac:dyDescent="0.35">
      <c r="A22" t="s">
        <v>37</v>
      </c>
      <c r="B22">
        <v>21</v>
      </c>
      <c r="C22" s="10">
        <v>1.5</v>
      </c>
      <c r="D22">
        <v>3</v>
      </c>
      <c r="E22">
        <v>1.5</v>
      </c>
      <c r="F22">
        <v>1.5</v>
      </c>
      <c r="G22">
        <v>1.5</v>
      </c>
      <c r="H22">
        <v>3</v>
      </c>
      <c r="I22">
        <v>3</v>
      </c>
      <c r="J22">
        <v>1.5</v>
      </c>
      <c r="K22">
        <v>6</v>
      </c>
      <c r="L22">
        <v>3</v>
      </c>
      <c r="M22">
        <v>1.5</v>
      </c>
      <c r="N22">
        <v>1.5</v>
      </c>
      <c r="O22">
        <v>3</v>
      </c>
      <c r="P22">
        <v>1.5</v>
      </c>
      <c r="Q22">
        <v>10</v>
      </c>
      <c r="R22">
        <v>1.5</v>
      </c>
      <c r="S22">
        <v>10</v>
      </c>
      <c r="T22">
        <v>1.5</v>
      </c>
      <c r="U22">
        <v>3</v>
      </c>
      <c r="V22">
        <v>1.5</v>
      </c>
      <c r="W22">
        <v>10</v>
      </c>
      <c r="X22">
        <v>3</v>
      </c>
      <c r="Y22">
        <v>10</v>
      </c>
      <c r="Z22">
        <v>10</v>
      </c>
      <c r="AA22">
        <v>1.5</v>
      </c>
      <c r="AB22">
        <v>4.5</v>
      </c>
      <c r="AC22">
        <v>10</v>
      </c>
      <c r="AD22">
        <v>1.5</v>
      </c>
      <c r="AE22">
        <v>3</v>
      </c>
      <c r="AF22">
        <v>3</v>
      </c>
      <c r="AG22">
        <v>10</v>
      </c>
      <c r="AH22">
        <v>1.5</v>
      </c>
      <c r="AI22">
        <v>0</v>
      </c>
      <c r="AJ22">
        <v>10</v>
      </c>
      <c r="AK22">
        <v>10</v>
      </c>
      <c r="AL22">
        <v>4.5</v>
      </c>
      <c r="AM22">
        <v>3</v>
      </c>
      <c r="AN22">
        <v>3</v>
      </c>
      <c r="AO22">
        <v>3</v>
      </c>
      <c r="AP22">
        <v>3</v>
      </c>
      <c r="AQ22">
        <v>4.5</v>
      </c>
      <c r="AR22">
        <v>1.5</v>
      </c>
      <c r="AS22">
        <v>1.5</v>
      </c>
      <c r="AT22">
        <v>1.5</v>
      </c>
      <c r="AU22">
        <v>10</v>
      </c>
      <c r="AV22">
        <v>3</v>
      </c>
      <c r="AW22">
        <v>10</v>
      </c>
      <c r="AX22">
        <v>10</v>
      </c>
      <c r="AY22">
        <v>0</v>
      </c>
      <c r="AZ22">
        <v>1.5</v>
      </c>
      <c r="BA22">
        <v>1.5</v>
      </c>
      <c r="BB22">
        <v>10</v>
      </c>
      <c r="BC22">
        <v>1.5</v>
      </c>
      <c r="BD22">
        <v>0</v>
      </c>
      <c r="BE22">
        <v>3</v>
      </c>
      <c r="BF22">
        <v>10</v>
      </c>
      <c r="BG22">
        <v>3</v>
      </c>
      <c r="BI22">
        <f t="shared" si="1"/>
        <v>1.5</v>
      </c>
      <c r="BJ22">
        <f t="shared" si="2"/>
        <v>0</v>
      </c>
      <c r="BK22">
        <f t="shared" si="3"/>
        <v>0</v>
      </c>
      <c r="BL22">
        <f t="shared" si="4"/>
        <v>1.5</v>
      </c>
      <c r="BM22">
        <f t="shared" si="5"/>
        <v>0</v>
      </c>
      <c r="BN22">
        <f t="shared" si="6"/>
        <v>0</v>
      </c>
      <c r="BO22">
        <f t="shared" si="7"/>
        <v>3</v>
      </c>
      <c r="BP22">
        <f t="shared" si="8"/>
        <v>1.5</v>
      </c>
      <c r="BQ22">
        <f t="shared" si="9"/>
        <v>6</v>
      </c>
      <c r="BR22">
        <f t="shared" si="10"/>
        <v>0</v>
      </c>
      <c r="BS22">
        <f t="shared" si="11"/>
        <v>0</v>
      </c>
      <c r="BT22">
        <f t="shared" si="12"/>
        <v>0</v>
      </c>
      <c r="BU22">
        <f t="shared" si="13"/>
        <v>0</v>
      </c>
      <c r="BV22">
        <f t="shared" si="14"/>
        <v>1.5</v>
      </c>
      <c r="BW22">
        <f t="shared" si="15"/>
        <v>10</v>
      </c>
      <c r="BX22">
        <f t="shared" si="16"/>
        <v>0</v>
      </c>
      <c r="BY22">
        <f t="shared" si="17"/>
        <v>10</v>
      </c>
      <c r="BZ22">
        <f t="shared" si="18"/>
        <v>1.5</v>
      </c>
      <c r="CA22">
        <f t="shared" si="19"/>
        <v>0</v>
      </c>
      <c r="CB22">
        <f t="shared" si="20"/>
        <v>1.5</v>
      </c>
      <c r="CC22">
        <f t="shared" si="21"/>
        <v>0</v>
      </c>
      <c r="CD22">
        <f t="shared" si="22"/>
        <v>0</v>
      </c>
      <c r="CE22">
        <f t="shared" si="23"/>
        <v>0</v>
      </c>
      <c r="CF22">
        <f t="shared" si="24"/>
        <v>0</v>
      </c>
      <c r="CG22">
        <f t="shared" si="25"/>
        <v>0</v>
      </c>
      <c r="CH22">
        <f t="shared" si="26"/>
        <v>0</v>
      </c>
      <c r="CI22">
        <f t="shared" si="27"/>
        <v>0</v>
      </c>
      <c r="CJ22">
        <f t="shared" si="28"/>
        <v>0</v>
      </c>
      <c r="CK22">
        <f t="shared" si="29"/>
        <v>0</v>
      </c>
      <c r="CL22">
        <f t="shared" si="30"/>
        <v>0</v>
      </c>
      <c r="CM22">
        <f t="shared" si="31"/>
        <v>0</v>
      </c>
      <c r="CN22">
        <f t="shared" si="32"/>
        <v>0</v>
      </c>
      <c r="CO22">
        <f t="shared" si="33"/>
        <v>0</v>
      </c>
      <c r="CP22">
        <f t="shared" si="34"/>
        <v>0</v>
      </c>
      <c r="CQ22">
        <f t="shared" si="35"/>
        <v>0</v>
      </c>
      <c r="CR22">
        <f t="shared" si="36"/>
        <v>0</v>
      </c>
      <c r="CS22">
        <f t="shared" si="37"/>
        <v>0</v>
      </c>
      <c r="CT22">
        <f t="shared" si="38"/>
        <v>0</v>
      </c>
      <c r="CU22">
        <f t="shared" si="39"/>
        <v>3</v>
      </c>
      <c r="CV22">
        <f t="shared" si="40"/>
        <v>0</v>
      </c>
      <c r="CW22">
        <f t="shared" si="41"/>
        <v>0</v>
      </c>
      <c r="CX22">
        <f t="shared" si="42"/>
        <v>1.5</v>
      </c>
      <c r="CY22">
        <f t="shared" si="43"/>
        <v>0</v>
      </c>
      <c r="CZ22">
        <f t="shared" si="44"/>
        <v>0</v>
      </c>
      <c r="DA22">
        <f t="shared" si="45"/>
        <v>0</v>
      </c>
      <c r="DB22">
        <f t="shared" si="46"/>
        <v>0</v>
      </c>
      <c r="DC22">
        <f t="shared" si="47"/>
        <v>0</v>
      </c>
      <c r="DD22">
        <f t="shared" si="48"/>
        <v>10</v>
      </c>
      <c r="DE22">
        <f t="shared" si="49"/>
        <v>0</v>
      </c>
      <c r="DF22">
        <f t="shared" si="50"/>
        <v>0</v>
      </c>
      <c r="DG22">
        <f t="shared" si="51"/>
        <v>1.5</v>
      </c>
      <c r="DH22">
        <f t="shared" si="52"/>
        <v>0</v>
      </c>
      <c r="DI22">
        <f t="shared" si="53"/>
        <v>0</v>
      </c>
      <c r="DJ22">
        <f t="shared" si="54"/>
        <v>0</v>
      </c>
      <c r="DK22">
        <f t="shared" si="55"/>
        <v>3</v>
      </c>
      <c r="DL22">
        <f t="shared" si="56"/>
        <v>0</v>
      </c>
      <c r="DM22">
        <f t="shared" si="57"/>
        <v>3</v>
      </c>
      <c r="DO22">
        <f t="shared" si="58"/>
        <v>60</v>
      </c>
    </row>
    <row r="23" spans="1:119" x14ac:dyDescent="0.35">
      <c r="A23" t="s">
        <v>38</v>
      </c>
      <c r="B23">
        <v>22</v>
      </c>
      <c r="C23" s="10">
        <v>1.5</v>
      </c>
      <c r="D23">
        <v>1.5</v>
      </c>
      <c r="E23">
        <v>1.5</v>
      </c>
      <c r="F23">
        <v>0</v>
      </c>
      <c r="G23">
        <v>0</v>
      </c>
      <c r="H23">
        <v>10</v>
      </c>
      <c r="I23">
        <v>3</v>
      </c>
      <c r="J23">
        <v>1.5</v>
      </c>
      <c r="K23">
        <v>3</v>
      </c>
      <c r="L23">
        <v>10</v>
      </c>
      <c r="M23">
        <v>10</v>
      </c>
      <c r="N23">
        <v>0</v>
      </c>
      <c r="O23">
        <v>1.5</v>
      </c>
      <c r="P23">
        <v>1.5</v>
      </c>
      <c r="Q23">
        <v>6</v>
      </c>
      <c r="R23">
        <v>4.5</v>
      </c>
      <c r="S23">
        <v>3</v>
      </c>
      <c r="T23">
        <v>1.5</v>
      </c>
      <c r="U23">
        <v>10</v>
      </c>
      <c r="V23">
        <v>1.5</v>
      </c>
      <c r="W23">
        <v>3</v>
      </c>
      <c r="X23">
        <v>10</v>
      </c>
      <c r="Y23">
        <v>0</v>
      </c>
      <c r="Z23">
        <v>4.5</v>
      </c>
      <c r="AA23">
        <v>1.5</v>
      </c>
      <c r="AB23">
        <v>1.5</v>
      </c>
      <c r="AC23">
        <v>0</v>
      </c>
      <c r="AD23">
        <v>0</v>
      </c>
      <c r="AE23">
        <v>1.5</v>
      </c>
      <c r="AF23">
        <v>1.5</v>
      </c>
      <c r="AG23">
        <v>10</v>
      </c>
      <c r="AH23">
        <v>10</v>
      </c>
      <c r="AI23">
        <v>1.5</v>
      </c>
      <c r="AJ23">
        <v>4.5</v>
      </c>
      <c r="AK23">
        <v>1.5</v>
      </c>
      <c r="AL23">
        <v>10</v>
      </c>
      <c r="AM23">
        <v>3</v>
      </c>
      <c r="AN23">
        <v>0</v>
      </c>
      <c r="AO23">
        <v>10</v>
      </c>
      <c r="AP23">
        <v>3</v>
      </c>
      <c r="AQ23">
        <v>1.5</v>
      </c>
      <c r="AR23">
        <v>1.5</v>
      </c>
      <c r="AS23">
        <v>10</v>
      </c>
      <c r="AT23">
        <v>1.5</v>
      </c>
      <c r="AU23">
        <v>1.5</v>
      </c>
      <c r="AV23">
        <v>3</v>
      </c>
      <c r="AW23">
        <v>0</v>
      </c>
      <c r="AX23">
        <v>3</v>
      </c>
      <c r="AY23">
        <v>0</v>
      </c>
      <c r="AZ23">
        <v>1.5</v>
      </c>
      <c r="BA23">
        <v>0</v>
      </c>
      <c r="BB23">
        <v>10</v>
      </c>
      <c r="BC23">
        <v>3</v>
      </c>
      <c r="BD23">
        <v>3</v>
      </c>
      <c r="BE23">
        <v>3</v>
      </c>
      <c r="BF23">
        <v>0</v>
      </c>
      <c r="BG23">
        <v>0</v>
      </c>
      <c r="BI23">
        <f t="shared" si="1"/>
        <v>1.5</v>
      </c>
      <c r="BJ23">
        <f t="shared" si="2"/>
        <v>0</v>
      </c>
      <c r="BK23">
        <f t="shared" si="3"/>
        <v>0</v>
      </c>
      <c r="BL23">
        <f t="shared" si="4"/>
        <v>0</v>
      </c>
      <c r="BM23">
        <f t="shared" si="5"/>
        <v>0</v>
      </c>
      <c r="BN23">
        <f t="shared" si="6"/>
        <v>0</v>
      </c>
      <c r="BO23">
        <f t="shared" si="7"/>
        <v>3</v>
      </c>
      <c r="BP23">
        <f t="shared" si="8"/>
        <v>1.5</v>
      </c>
      <c r="BQ23">
        <f t="shared" si="9"/>
        <v>3</v>
      </c>
      <c r="BR23">
        <f t="shared" si="10"/>
        <v>0</v>
      </c>
      <c r="BS23">
        <f t="shared" si="11"/>
        <v>0</v>
      </c>
      <c r="BT23">
        <f t="shared" si="12"/>
        <v>0</v>
      </c>
      <c r="BU23">
        <f t="shared" si="13"/>
        <v>0</v>
      </c>
      <c r="BV23">
        <f t="shared" si="14"/>
        <v>1.5</v>
      </c>
      <c r="BW23">
        <f t="shared" si="15"/>
        <v>6</v>
      </c>
      <c r="BX23">
        <f t="shared" si="16"/>
        <v>0</v>
      </c>
      <c r="BY23">
        <f t="shared" si="17"/>
        <v>3</v>
      </c>
      <c r="BZ23">
        <f t="shared" si="18"/>
        <v>1.5</v>
      </c>
      <c r="CA23">
        <f t="shared" si="19"/>
        <v>0</v>
      </c>
      <c r="CB23">
        <f t="shared" si="20"/>
        <v>1.5</v>
      </c>
      <c r="CC23">
        <f t="shared" si="21"/>
        <v>0</v>
      </c>
      <c r="CD23">
        <f t="shared" si="22"/>
        <v>0</v>
      </c>
      <c r="CE23">
        <f t="shared" si="23"/>
        <v>0</v>
      </c>
      <c r="CF23">
        <f t="shared" si="24"/>
        <v>0</v>
      </c>
      <c r="CG23">
        <f t="shared" si="25"/>
        <v>0</v>
      </c>
      <c r="CH23">
        <f t="shared" si="26"/>
        <v>0</v>
      </c>
      <c r="CI23">
        <f t="shared" si="27"/>
        <v>0</v>
      </c>
      <c r="CJ23">
        <f t="shared" si="28"/>
        <v>0</v>
      </c>
      <c r="CK23">
        <f t="shared" si="29"/>
        <v>0</v>
      </c>
      <c r="CL23">
        <f t="shared" si="30"/>
        <v>0</v>
      </c>
      <c r="CM23">
        <f t="shared" si="31"/>
        <v>0</v>
      </c>
      <c r="CN23">
        <f t="shared" si="32"/>
        <v>0</v>
      </c>
      <c r="CO23">
        <f t="shared" si="33"/>
        <v>0</v>
      </c>
      <c r="CP23">
        <f t="shared" si="34"/>
        <v>0</v>
      </c>
      <c r="CQ23">
        <f t="shared" si="35"/>
        <v>0</v>
      </c>
      <c r="CR23">
        <f t="shared" si="36"/>
        <v>0</v>
      </c>
      <c r="CS23">
        <f t="shared" si="37"/>
        <v>0</v>
      </c>
      <c r="CT23">
        <f t="shared" si="38"/>
        <v>0</v>
      </c>
      <c r="CU23">
        <f t="shared" si="39"/>
        <v>10</v>
      </c>
      <c r="CV23">
        <f t="shared" si="40"/>
        <v>0</v>
      </c>
      <c r="CW23">
        <f t="shared" si="41"/>
        <v>0</v>
      </c>
      <c r="CX23">
        <f t="shared" si="42"/>
        <v>1.5</v>
      </c>
      <c r="CY23">
        <f t="shared" si="43"/>
        <v>0</v>
      </c>
      <c r="CZ23">
        <f t="shared" si="44"/>
        <v>0</v>
      </c>
      <c r="DA23">
        <f t="shared" si="45"/>
        <v>0</v>
      </c>
      <c r="DB23">
        <f t="shared" si="46"/>
        <v>0</v>
      </c>
      <c r="DC23">
        <f t="shared" si="47"/>
        <v>0</v>
      </c>
      <c r="DD23">
        <f t="shared" si="48"/>
        <v>3</v>
      </c>
      <c r="DE23">
        <f t="shared" si="49"/>
        <v>0</v>
      </c>
      <c r="DF23">
        <f t="shared" si="50"/>
        <v>0</v>
      </c>
      <c r="DG23">
        <f t="shared" si="51"/>
        <v>0</v>
      </c>
      <c r="DH23">
        <f t="shared" si="52"/>
        <v>0</v>
      </c>
      <c r="DI23">
        <f t="shared" si="53"/>
        <v>0</v>
      </c>
      <c r="DJ23">
        <f t="shared" si="54"/>
        <v>0</v>
      </c>
      <c r="DK23">
        <f t="shared" si="55"/>
        <v>3</v>
      </c>
      <c r="DL23">
        <f t="shared" si="56"/>
        <v>0</v>
      </c>
      <c r="DM23">
        <f t="shared" si="57"/>
        <v>0</v>
      </c>
      <c r="DO23">
        <f t="shared" si="58"/>
        <v>40</v>
      </c>
    </row>
    <row r="24" spans="1:119" x14ac:dyDescent="0.35">
      <c r="A24" t="s">
        <v>39</v>
      </c>
      <c r="B24">
        <v>23</v>
      </c>
      <c r="C24" s="10">
        <v>1.5</v>
      </c>
      <c r="D24">
        <v>0</v>
      </c>
      <c r="E24">
        <v>1.5</v>
      </c>
      <c r="F24">
        <v>0</v>
      </c>
      <c r="G24">
        <v>1.5</v>
      </c>
      <c r="H24">
        <v>1.5</v>
      </c>
      <c r="I24">
        <v>1.5</v>
      </c>
      <c r="J24">
        <v>1.5</v>
      </c>
      <c r="K24">
        <v>1.5</v>
      </c>
      <c r="L24">
        <v>1.5</v>
      </c>
      <c r="M24">
        <v>1.5</v>
      </c>
      <c r="N24">
        <v>1.5</v>
      </c>
      <c r="O24">
        <v>10</v>
      </c>
      <c r="P24">
        <v>0</v>
      </c>
      <c r="Q24">
        <v>1.5</v>
      </c>
      <c r="R24">
        <v>1.5</v>
      </c>
      <c r="S24">
        <v>3</v>
      </c>
      <c r="T24">
        <v>0</v>
      </c>
      <c r="U24">
        <v>1.5</v>
      </c>
      <c r="V24">
        <v>1.5</v>
      </c>
      <c r="W24">
        <v>10</v>
      </c>
      <c r="X24">
        <v>0</v>
      </c>
      <c r="Y24">
        <v>10</v>
      </c>
      <c r="Z24">
        <v>3</v>
      </c>
      <c r="AA24">
        <v>3</v>
      </c>
      <c r="AB24">
        <v>1.5</v>
      </c>
      <c r="AC24">
        <v>10</v>
      </c>
      <c r="AD24">
        <v>3</v>
      </c>
      <c r="AE24">
        <v>3</v>
      </c>
      <c r="AF24">
        <v>3</v>
      </c>
      <c r="AG24">
        <v>1.5</v>
      </c>
      <c r="AH24">
        <v>0</v>
      </c>
      <c r="AI24">
        <v>1.5</v>
      </c>
      <c r="AJ24">
        <v>1.5</v>
      </c>
      <c r="AK24">
        <v>10</v>
      </c>
      <c r="AL24">
        <v>0</v>
      </c>
      <c r="AM24">
        <v>0</v>
      </c>
      <c r="AN24">
        <v>10</v>
      </c>
      <c r="AO24">
        <v>0</v>
      </c>
      <c r="AP24">
        <v>10</v>
      </c>
      <c r="AQ24">
        <v>1.5</v>
      </c>
      <c r="AR24">
        <v>1.5</v>
      </c>
      <c r="AS24">
        <v>0</v>
      </c>
      <c r="AT24">
        <v>3</v>
      </c>
      <c r="AU24">
        <v>10</v>
      </c>
      <c r="AV24">
        <v>3</v>
      </c>
      <c r="AW24">
        <v>10</v>
      </c>
      <c r="AX24">
        <v>1.5</v>
      </c>
      <c r="AY24">
        <v>1.5</v>
      </c>
      <c r="AZ24">
        <v>1.5</v>
      </c>
      <c r="BA24">
        <v>3</v>
      </c>
      <c r="BB24">
        <v>3</v>
      </c>
      <c r="BC24">
        <v>1.5</v>
      </c>
      <c r="BD24">
        <v>1.5</v>
      </c>
      <c r="BE24">
        <v>1.5</v>
      </c>
      <c r="BF24">
        <v>10</v>
      </c>
      <c r="BG24">
        <v>1.5</v>
      </c>
      <c r="BI24">
        <f t="shared" si="1"/>
        <v>1.5</v>
      </c>
      <c r="BJ24">
        <f t="shared" si="2"/>
        <v>0</v>
      </c>
      <c r="BK24">
        <f t="shared" si="3"/>
        <v>0</v>
      </c>
      <c r="BL24">
        <f t="shared" si="4"/>
        <v>0</v>
      </c>
      <c r="BM24">
        <f t="shared" si="5"/>
        <v>0</v>
      </c>
      <c r="BN24">
        <f t="shared" si="6"/>
        <v>0</v>
      </c>
      <c r="BO24">
        <f t="shared" si="7"/>
        <v>1.5</v>
      </c>
      <c r="BP24">
        <f t="shared" si="8"/>
        <v>1.5</v>
      </c>
      <c r="BQ24">
        <f t="shared" si="9"/>
        <v>1.5</v>
      </c>
      <c r="BR24">
        <f t="shared" si="10"/>
        <v>0</v>
      </c>
      <c r="BS24">
        <f t="shared" si="11"/>
        <v>0</v>
      </c>
      <c r="BT24">
        <f t="shared" si="12"/>
        <v>0</v>
      </c>
      <c r="BU24">
        <f t="shared" si="13"/>
        <v>0</v>
      </c>
      <c r="BV24">
        <f t="shared" si="14"/>
        <v>0</v>
      </c>
      <c r="BW24">
        <f t="shared" si="15"/>
        <v>1.5</v>
      </c>
      <c r="BX24">
        <f t="shared" si="16"/>
        <v>0</v>
      </c>
      <c r="BY24">
        <f t="shared" si="17"/>
        <v>3</v>
      </c>
      <c r="BZ24">
        <f t="shared" si="18"/>
        <v>0</v>
      </c>
      <c r="CA24">
        <f t="shared" si="19"/>
        <v>0</v>
      </c>
      <c r="CB24">
        <f t="shared" si="20"/>
        <v>1.5</v>
      </c>
      <c r="CC24">
        <f t="shared" si="21"/>
        <v>0</v>
      </c>
      <c r="CD24">
        <f t="shared" si="22"/>
        <v>0</v>
      </c>
      <c r="CE24">
        <f t="shared" si="23"/>
        <v>0</v>
      </c>
      <c r="CF24">
        <f t="shared" si="24"/>
        <v>0</v>
      </c>
      <c r="CG24">
        <f t="shared" si="25"/>
        <v>0</v>
      </c>
      <c r="CH24">
        <f t="shared" si="26"/>
        <v>0</v>
      </c>
      <c r="CI24">
        <f t="shared" si="27"/>
        <v>0</v>
      </c>
      <c r="CJ24">
        <f t="shared" si="28"/>
        <v>0</v>
      </c>
      <c r="CK24">
        <f t="shared" si="29"/>
        <v>0</v>
      </c>
      <c r="CL24">
        <f t="shared" si="30"/>
        <v>0</v>
      </c>
      <c r="CM24">
        <f t="shared" si="31"/>
        <v>0</v>
      </c>
      <c r="CN24">
        <f t="shared" si="32"/>
        <v>0</v>
      </c>
      <c r="CO24">
        <f t="shared" si="33"/>
        <v>0</v>
      </c>
      <c r="CP24">
        <f t="shared" si="34"/>
        <v>0</v>
      </c>
      <c r="CQ24">
        <f t="shared" si="35"/>
        <v>0</v>
      </c>
      <c r="CR24">
        <f t="shared" si="36"/>
        <v>0</v>
      </c>
      <c r="CS24">
        <f t="shared" si="37"/>
        <v>0</v>
      </c>
      <c r="CT24">
        <f t="shared" si="38"/>
        <v>0</v>
      </c>
      <c r="CU24">
        <f t="shared" si="39"/>
        <v>0</v>
      </c>
      <c r="CV24">
        <f t="shared" si="40"/>
        <v>0</v>
      </c>
      <c r="CW24">
        <f t="shared" si="41"/>
        <v>0</v>
      </c>
      <c r="CX24">
        <f t="shared" si="42"/>
        <v>1.5</v>
      </c>
      <c r="CY24">
        <f t="shared" si="43"/>
        <v>0</v>
      </c>
      <c r="CZ24">
        <f t="shared" si="44"/>
        <v>0</v>
      </c>
      <c r="DA24">
        <f t="shared" si="45"/>
        <v>0</v>
      </c>
      <c r="DB24">
        <f t="shared" si="46"/>
        <v>0</v>
      </c>
      <c r="DC24">
        <f t="shared" si="47"/>
        <v>0</v>
      </c>
      <c r="DD24">
        <f t="shared" si="48"/>
        <v>1.5</v>
      </c>
      <c r="DE24">
        <f t="shared" si="49"/>
        <v>0</v>
      </c>
      <c r="DF24">
        <f t="shared" si="50"/>
        <v>0</v>
      </c>
      <c r="DG24">
        <f t="shared" si="51"/>
        <v>3</v>
      </c>
      <c r="DH24">
        <f t="shared" si="52"/>
        <v>0</v>
      </c>
      <c r="DI24">
        <f t="shared" si="53"/>
        <v>0</v>
      </c>
      <c r="DJ24">
        <f t="shared" si="54"/>
        <v>0</v>
      </c>
      <c r="DK24">
        <f t="shared" si="55"/>
        <v>1.5</v>
      </c>
      <c r="DL24">
        <f t="shared" si="56"/>
        <v>0</v>
      </c>
      <c r="DM24">
        <f t="shared" si="57"/>
        <v>1.5</v>
      </c>
      <c r="DO24">
        <f t="shared" si="58"/>
        <v>21</v>
      </c>
    </row>
    <row r="25" spans="1:119" x14ac:dyDescent="0.35">
      <c r="A25" t="s">
        <v>40</v>
      </c>
      <c r="B25">
        <v>24</v>
      </c>
      <c r="C25" s="10">
        <v>3</v>
      </c>
      <c r="D25">
        <v>4.5</v>
      </c>
      <c r="E25">
        <v>10</v>
      </c>
      <c r="F25">
        <v>3</v>
      </c>
      <c r="G25">
        <v>0</v>
      </c>
      <c r="H25">
        <v>10</v>
      </c>
      <c r="I25">
        <v>4.5</v>
      </c>
      <c r="J25">
        <v>0</v>
      </c>
      <c r="K25">
        <v>4.5</v>
      </c>
      <c r="L25">
        <v>1.5</v>
      </c>
      <c r="M25">
        <v>3</v>
      </c>
      <c r="N25">
        <v>0</v>
      </c>
      <c r="O25">
        <v>3</v>
      </c>
      <c r="P25">
        <v>3</v>
      </c>
      <c r="Q25">
        <v>10</v>
      </c>
      <c r="R25">
        <v>1.5</v>
      </c>
      <c r="S25">
        <v>10</v>
      </c>
      <c r="T25">
        <v>3</v>
      </c>
      <c r="U25">
        <v>1.5</v>
      </c>
      <c r="V25">
        <v>3</v>
      </c>
      <c r="W25">
        <v>10</v>
      </c>
      <c r="X25">
        <v>4.5</v>
      </c>
      <c r="Y25">
        <v>3</v>
      </c>
      <c r="Z25">
        <v>10</v>
      </c>
      <c r="AA25">
        <v>0</v>
      </c>
      <c r="AB25">
        <v>3</v>
      </c>
      <c r="AC25">
        <v>1.5</v>
      </c>
      <c r="AD25">
        <v>0</v>
      </c>
      <c r="AE25">
        <v>1.5</v>
      </c>
      <c r="AF25">
        <v>1.5</v>
      </c>
      <c r="AG25">
        <v>10</v>
      </c>
      <c r="AH25">
        <v>3</v>
      </c>
      <c r="AI25">
        <v>1.5</v>
      </c>
      <c r="AJ25">
        <v>10</v>
      </c>
      <c r="AK25">
        <v>1.5</v>
      </c>
      <c r="AL25">
        <v>6</v>
      </c>
      <c r="AM25">
        <v>4.5</v>
      </c>
      <c r="AN25">
        <v>3</v>
      </c>
      <c r="AO25">
        <v>4.5</v>
      </c>
      <c r="AP25">
        <v>10</v>
      </c>
      <c r="AQ25">
        <v>3</v>
      </c>
      <c r="AR25">
        <v>3</v>
      </c>
      <c r="AS25">
        <v>3</v>
      </c>
      <c r="AT25">
        <v>0</v>
      </c>
      <c r="AU25">
        <v>1.5</v>
      </c>
      <c r="AV25">
        <v>1.5</v>
      </c>
      <c r="AW25">
        <v>1.5</v>
      </c>
      <c r="AX25">
        <v>10</v>
      </c>
      <c r="AY25">
        <v>1.5</v>
      </c>
      <c r="AZ25">
        <v>3</v>
      </c>
      <c r="BA25">
        <v>0</v>
      </c>
      <c r="BB25">
        <v>10</v>
      </c>
      <c r="BC25">
        <v>10</v>
      </c>
      <c r="BD25">
        <v>1.5</v>
      </c>
      <c r="BE25">
        <v>10</v>
      </c>
      <c r="BF25">
        <v>1.5</v>
      </c>
      <c r="BG25">
        <v>1.5</v>
      </c>
      <c r="BI25">
        <f t="shared" si="1"/>
        <v>3</v>
      </c>
      <c r="BJ25">
        <f t="shared" si="2"/>
        <v>0</v>
      </c>
      <c r="BK25">
        <f t="shared" si="3"/>
        <v>0</v>
      </c>
      <c r="BL25">
        <f t="shared" si="4"/>
        <v>3</v>
      </c>
      <c r="BM25">
        <f t="shared" si="5"/>
        <v>0</v>
      </c>
      <c r="BN25">
        <f t="shared" si="6"/>
        <v>0</v>
      </c>
      <c r="BO25">
        <f t="shared" si="7"/>
        <v>4.5</v>
      </c>
      <c r="BP25">
        <f t="shared" si="8"/>
        <v>0</v>
      </c>
      <c r="BQ25">
        <f t="shared" si="9"/>
        <v>4.5</v>
      </c>
      <c r="BR25">
        <f t="shared" si="10"/>
        <v>0</v>
      </c>
      <c r="BS25">
        <f t="shared" si="11"/>
        <v>0</v>
      </c>
      <c r="BT25">
        <f t="shared" si="12"/>
        <v>0</v>
      </c>
      <c r="BU25">
        <f t="shared" si="13"/>
        <v>0</v>
      </c>
      <c r="BV25">
        <f t="shared" si="14"/>
        <v>3</v>
      </c>
      <c r="BW25">
        <f t="shared" si="15"/>
        <v>10</v>
      </c>
      <c r="BX25">
        <f t="shared" si="16"/>
        <v>0</v>
      </c>
      <c r="BY25">
        <f t="shared" si="17"/>
        <v>10</v>
      </c>
      <c r="BZ25">
        <f t="shared" si="18"/>
        <v>3</v>
      </c>
      <c r="CA25">
        <f t="shared" si="19"/>
        <v>0</v>
      </c>
      <c r="CB25">
        <f t="shared" si="20"/>
        <v>3</v>
      </c>
      <c r="CC25">
        <f t="shared" si="21"/>
        <v>0</v>
      </c>
      <c r="CD25">
        <f t="shared" si="22"/>
        <v>0</v>
      </c>
      <c r="CE25">
        <f t="shared" si="23"/>
        <v>0</v>
      </c>
      <c r="CF25">
        <f t="shared" si="24"/>
        <v>0</v>
      </c>
      <c r="CG25">
        <f t="shared" si="25"/>
        <v>0</v>
      </c>
      <c r="CH25">
        <f t="shared" si="26"/>
        <v>0</v>
      </c>
      <c r="CI25">
        <f t="shared" si="27"/>
        <v>0</v>
      </c>
      <c r="CJ25">
        <f t="shared" si="28"/>
        <v>0</v>
      </c>
      <c r="CK25">
        <f t="shared" si="29"/>
        <v>0</v>
      </c>
      <c r="CL25">
        <f t="shared" si="30"/>
        <v>0</v>
      </c>
      <c r="CM25">
        <f t="shared" si="31"/>
        <v>0</v>
      </c>
      <c r="CN25">
        <f t="shared" si="32"/>
        <v>0</v>
      </c>
      <c r="CO25">
        <f t="shared" si="33"/>
        <v>0</v>
      </c>
      <c r="CP25">
        <f t="shared" si="34"/>
        <v>0</v>
      </c>
      <c r="CQ25">
        <f t="shared" si="35"/>
        <v>0</v>
      </c>
      <c r="CR25">
        <f t="shared" si="36"/>
        <v>0</v>
      </c>
      <c r="CS25">
        <f t="shared" si="37"/>
        <v>0</v>
      </c>
      <c r="CT25">
        <f t="shared" si="38"/>
        <v>0</v>
      </c>
      <c r="CU25">
        <f t="shared" si="39"/>
        <v>4.5</v>
      </c>
      <c r="CV25">
        <f t="shared" si="40"/>
        <v>0</v>
      </c>
      <c r="CW25">
        <f t="shared" si="41"/>
        <v>0</v>
      </c>
      <c r="CX25">
        <f t="shared" si="42"/>
        <v>3</v>
      </c>
      <c r="CY25">
        <f t="shared" si="43"/>
        <v>0</v>
      </c>
      <c r="CZ25">
        <f t="shared" si="44"/>
        <v>0</v>
      </c>
      <c r="DA25">
        <f t="shared" si="45"/>
        <v>0</v>
      </c>
      <c r="DB25">
        <f t="shared" si="46"/>
        <v>0</v>
      </c>
      <c r="DC25">
        <f t="shared" si="47"/>
        <v>0</v>
      </c>
      <c r="DD25">
        <f t="shared" si="48"/>
        <v>10</v>
      </c>
      <c r="DE25">
        <f t="shared" si="49"/>
        <v>0</v>
      </c>
      <c r="DF25">
        <f t="shared" si="50"/>
        <v>0</v>
      </c>
      <c r="DG25">
        <f t="shared" si="51"/>
        <v>0</v>
      </c>
      <c r="DH25">
        <f t="shared" si="52"/>
        <v>0</v>
      </c>
      <c r="DI25">
        <f t="shared" si="53"/>
        <v>0</v>
      </c>
      <c r="DJ25">
        <f t="shared" si="54"/>
        <v>0</v>
      </c>
      <c r="DK25">
        <f t="shared" si="55"/>
        <v>10</v>
      </c>
      <c r="DL25">
        <f t="shared" si="56"/>
        <v>0</v>
      </c>
      <c r="DM25">
        <f t="shared" si="57"/>
        <v>1.5</v>
      </c>
      <c r="DO25">
        <f t="shared" si="58"/>
        <v>73</v>
      </c>
    </row>
    <row r="26" spans="1:119" x14ac:dyDescent="0.35">
      <c r="A26" t="s">
        <v>41</v>
      </c>
      <c r="B26">
        <v>25</v>
      </c>
      <c r="C26" s="10">
        <v>10</v>
      </c>
      <c r="D26">
        <v>3</v>
      </c>
      <c r="E26">
        <v>1.5</v>
      </c>
      <c r="F26">
        <v>3</v>
      </c>
      <c r="G26">
        <v>1.5</v>
      </c>
      <c r="H26">
        <v>0</v>
      </c>
      <c r="I26">
        <v>4.5</v>
      </c>
      <c r="J26">
        <v>1.5</v>
      </c>
      <c r="K26">
        <v>10</v>
      </c>
      <c r="L26">
        <v>10</v>
      </c>
      <c r="M26">
        <v>1.5</v>
      </c>
      <c r="N26">
        <v>1.5</v>
      </c>
      <c r="O26">
        <v>3</v>
      </c>
      <c r="P26">
        <v>1.5</v>
      </c>
      <c r="Q26">
        <v>4.5</v>
      </c>
      <c r="R26">
        <v>1.5</v>
      </c>
      <c r="S26">
        <v>3</v>
      </c>
      <c r="T26">
        <v>3</v>
      </c>
      <c r="U26">
        <v>3</v>
      </c>
      <c r="V26">
        <v>10</v>
      </c>
      <c r="W26">
        <v>1.5</v>
      </c>
      <c r="X26">
        <v>1.5</v>
      </c>
      <c r="Y26">
        <v>3</v>
      </c>
      <c r="Z26">
        <v>0</v>
      </c>
      <c r="AA26">
        <v>10</v>
      </c>
      <c r="AB26">
        <v>1.5</v>
      </c>
      <c r="AC26">
        <v>3</v>
      </c>
      <c r="AD26">
        <v>10</v>
      </c>
      <c r="AE26">
        <v>1.5</v>
      </c>
      <c r="AF26">
        <v>10</v>
      </c>
      <c r="AG26">
        <v>1.5</v>
      </c>
      <c r="AH26">
        <v>0</v>
      </c>
      <c r="AI26">
        <v>0</v>
      </c>
      <c r="AJ26">
        <v>1.5</v>
      </c>
      <c r="AK26">
        <v>10</v>
      </c>
      <c r="AL26">
        <v>1.5</v>
      </c>
      <c r="AM26">
        <v>1.5</v>
      </c>
      <c r="AN26">
        <v>10</v>
      </c>
      <c r="AO26">
        <v>4.5</v>
      </c>
      <c r="AP26">
        <v>1.5</v>
      </c>
      <c r="AQ26">
        <v>1.5</v>
      </c>
      <c r="AR26">
        <v>1.5</v>
      </c>
      <c r="AS26">
        <v>1.5</v>
      </c>
      <c r="AT26">
        <v>10</v>
      </c>
      <c r="AU26">
        <v>3</v>
      </c>
      <c r="AV26">
        <v>10</v>
      </c>
      <c r="AW26">
        <v>1.5</v>
      </c>
      <c r="AX26">
        <v>1.5</v>
      </c>
      <c r="AY26">
        <v>10</v>
      </c>
      <c r="AZ26">
        <v>3</v>
      </c>
      <c r="BA26">
        <v>10</v>
      </c>
      <c r="BB26">
        <v>1.5</v>
      </c>
      <c r="BC26">
        <v>0</v>
      </c>
      <c r="BD26">
        <v>0</v>
      </c>
      <c r="BE26">
        <v>3</v>
      </c>
      <c r="BF26">
        <v>3</v>
      </c>
      <c r="BG26">
        <v>3</v>
      </c>
      <c r="BI26">
        <f t="shared" si="1"/>
        <v>10</v>
      </c>
      <c r="BJ26">
        <f t="shared" si="2"/>
        <v>0</v>
      </c>
      <c r="BK26">
        <f t="shared" si="3"/>
        <v>0</v>
      </c>
      <c r="BL26">
        <f t="shared" si="4"/>
        <v>3</v>
      </c>
      <c r="BM26">
        <f t="shared" si="5"/>
        <v>0</v>
      </c>
      <c r="BN26">
        <f t="shared" si="6"/>
        <v>0</v>
      </c>
      <c r="BO26">
        <f t="shared" si="7"/>
        <v>4.5</v>
      </c>
      <c r="BP26">
        <f t="shared" si="8"/>
        <v>1.5</v>
      </c>
      <c r="BQ26">
        <f t="shared" si="9"/>
        <v>10</v>
      </c>
      <c r="BR26">
        <f t="shared" si="10"/>
        <v>0</v>
      </c>
      <c r="BS26">
        <f t="shared" si="11"/>
        <v>0</v>
      </c>
      <c r="BT26">
        <f t="shared" si="12"/>
        <v>0</v>
      </c>
      <c r="BU26">
        <f t="shared" si="13"/>
        <v>0</v>
      </c>
      <c r="BV26">
        <f t="shared" si="14"/>
        <v>1.5</v>
      </c>
      <c r="BW26">
        <f t="shared" si="15"/>
        <v>4.5</v>
      </c>
      <c r="BX26">
        <f t="shared" si="16"/>
        <v>0</v>
      </c>
      <c r="BY26">
        <f t="shared" si="17"/>
        <v>3</v>
      </c>
      <c r="BZ26">
        <f t="shared" si="18"/>
        <v>3</v>
      </c>
      <c r="CA26">
        <f t="shared" si="19"/>
        <v>0</v>
      </c>
      <c r="CB26">
        <f t="shared" si="20"/>
        <v>10</v>
      </c>
      <c r="CC26">
        <f t="shared" si="21"/>
        <v>0</v>
      </c>
      <c r="CD26">
        <f t="shared" si="22"/>
        <v>0</v>
      </c>
      <c r="CE26">
        <f t="shared" si="23"/>
        <v>0</v>
      </c>
      <c r="CF26">
        <f t="shared" si="24"/>
        <v>0</v>
      </c>
      <c r="CG26">
        <f t="shared" si="25"/>
        <v>0</v>
      </c>
      <c r="CH26">
        <f t="shared" si="26"/>
        <v>0</v>
      </c>
      <c r="CI26">
        <f t="shared" si="27"/>
        <v>0</v>
      </c>
      <c r="CJ26">
        <f t="shared" si="28"/>
        <v>0</v>
      </c>
      <c r="CK26">
        <f t="shared" si="29"/>
        <v>0</v>
      </c>
      <c r="CL26">
        <f t="shared" si="30"/>
        <v>0</v>
      </c>
      <c r="CM26">
        <f t="shared" si="31"/>
        <v>0</v>
      </c>
      <c r="CN26">
        <f t="shared" si="32"/>
        <v>0</v>
      </c>
      <c r="CO26">
        <f t="shared" si="33"/>
        <v>0</v>
      </c>
      <c r="CP26">
        <f t="shared" si="34"/>
        <v>0</v>
      </c>
      <c r="CQ26">
        <f t="shared" si="35"/>
        <v>0</v>
      </c>
      <c r="CR26">
        <f t="shared" si="36"/>
        <v>0</v>
      </c>
      <c r="CS26">
        <f t="shared" si="37"/>
        <v>0</v>
      </c>
      <c r="CT26">
        <f t="shared" si="38"/>
        <v>0</v>
      </c>
      <c r="CU26">
        <f t="shared" si="39"/>
        <v>4.5</v>
      </c>
      <c r="CV26">
        <f t="shared" si="40"/>
        <v>0</v>
      </c>
      <c r="CW26">
        <f t="shared" si="41"/>
        <v>0</v>
      </c>
      <c r="CX26">
        <f t="shared" si="42"/>
        <v>1.5</v>
      </c>
      <c r="CY26">
        <f t="shared" si="43"/>
        <v>0</v>
      </c>
      <c r="CZ26">
        <f t="shared" si="44"/>
        <v>0</v>
      </c>
      <c r="DA26">
        <f t="shared" si="45"/>
        <v>0</v>
      </c>
      <c r="DB26">
        <f t="shared" si="46"/>
        <v>0</v>
      </c>
      <c r="DC26">
        <f t="shared" si="47"/>
        <v>0</v>
      </c>
      <c r="DD26">
        <f t="shared" si="48"/>
        <v>1.5</v>
      </c>
      <c r="DE26">
        <f t="shared" si="49"/>
        <v>0</v>
      </c>
      <c r="DF26">
        <f t="shared" si="50"/>
        <v>0</v>
      </c>
      <c r="DG26">
        <f t="shared" si="51"/>
        <v>10</v>
      </c>
      <c r="DH26">
        <f t="shared" si="52"/>
        <v>0</v>
      </c>
      <c r="DI26">
        <f t="shared" si="53"/>
        <v>0</v>
      </c>
      <c r="DJ26">
        <f t="shared" si="54"/>
        <v>0</v>
      </c>
      <c r="DK26">
        <f t="shared" si="55"/>
        <v>3</v>
      </c>
      <c r="DL26">
        <f t="shared" si="56"/>
        <v>0</v>
      </c>
      <c r="DM26">
        <f t="shared" si="57"/>
        <v>3</v>
      </c>
      <c r="DO26">
        <f t="shared" si="58"/>
        <v>74.5</v>
      </c>
    </row>
    <row r="27" spans="1:119" x14ac:dyDescent="0.35">
      <c r="A27" t="s">
        <v>76</v>
      </c>
      <c r="B27">
        <v>26</v>
      </c>
      <c r="C27" s="10">
        <v>1.5</v>
      </c>
      <c r="D27">
        <v>10</v>
      </c>
      <c r="E27">
        <v>1.5</v>
      </c>
      <c r="F27">
        <v>3</v>
      </c>
      <c r="G27">
        <v>0</v>
      </c>
      <c r="H27">
        <v>1.5</v>
      </c>
      <c r="I27">
        <v>3</v>
      </c>
      <c r="J27">
        <v>0</v>
      </c>
      <c r="K27">
        <v>10</v>
      </c>
      <c r="L27">
        <v>1.5</v>
      </c>
      <c r="M27">
        <v>0</v>
      </c>
      <c r="N27">
        <v>0</v>
      </c>
      <c r="O27">
        <v>1.5</v>
      </c>
      <c r="P27">
        <v>3</v>
      </c>
      <c r="Q27">
        <v>10</v>
      </c>
      <c r="R27">
        <v>1.5</v>
      </c>
      <c r="S27">
        <v>3</v>
      </c>
      <c r="T27">
        <v>1.5</v>
      </c>
      <c r="U27">
        <v>0</v>
      </c>
      <c r="V27">
        <v>1.5</v>
      </c>
      <c r="W27">
        <v>4.5</v>
      </c>
      <c r="X27">
        <v>1.5</v>
      </c>
      <c r="Y27">
        <v>1.5</v>
      </c>
      <c r="Z27">
        <v>3</v>
      </c>
      <c r="AA27">
        <v>1.5</v>
      </c>
      <c r="AB27">
        <v>10</v>
      </c>
      <c r="AC27">
        <v>1.5</v>
      </c>
      <c r="AD27">
        <v>0</v>
      </c>
      <c r="AE27">
        <v>10</v>
      </c>
      <c r="AF27">
        <v>1.5</v>
      </c>
      <c r="AG27">
        <v>3</v>
      </c>
      <c r="AH27">
        <v>1.5</v>
      </c>
      <c r="AI27">
        <v>0</v>
      </c>
      <c r="AJ27">
        <v>10</v>
      </c>
      <c r="AK27">
        <v>3</v>
      </c>
      <c r="AL27">
        <v>10</v>
      </c>
      <c r="AM27">
        <v>10</v>
      </c>
      <c r="AN27">
        <v>0</v>
      </c>
      <c r="AO27">
        <v>1.5</v>
      </c>
      <c r="AP27">
        <v>0</v>
      </c>
      <c r="AQ27">
        <v>10</v>
      </c>
      <c r="AR27">
        <v>1.5</v>
      </c>
      <c r="AS27">
        <v>1.5</v>
      </c>
      <c r="AT27">
        <v>0</v>
      </c>
      <c r="AU27">
        <v>1.5</v>
      </c>
      <c r="AV27">
        <v>3</v>
      </c>
      <c r="AW27">
        <v>10</v>
      </c>
      <c r="AX27">
        <v>4.5</v>
      </c>
      <c r="AY27">
        <v>1.5</v>
      </c>
      <c r="AZ27">
        <v>3</v>
      </c>
      <c r="BA27">
        <v>0</v>
      </c>
      <c r="BB27">
        <v>6</v>
      </c>
      <c r="BC27">
        <v>1.5</v>
      </c>
      <c r="BD27">
        <v>0</v>
      </c>
      <c r="BE27">
        <v>1.5</v>
      </c>
      <c r="BF27">
        <v>1.5</v>
      </c>
      <c r="BG27">
        <v>1.5</v>
      </c>
      <c r="BI27">
        <f t="shared" si="1"/>
        <v>1.5</v>
      </c>
      <c r="BJ27">
        <f t="shared" si="2"/>
        <v>0</v>
      </c>
      <c r="BK27">
        <f t="shared" si="3"/>
        <v>0</v>
      </c>
      <c r="BL27">
        <f t="shared" si="4"/>
        <v>3</v>
      </c>
      <c r="BM27">
        <f t="shared" si="5"/>
        <v>0</v>
      </c>
      <c r="BN27">
        <f t="shared" si="6"/>
        <v>0</v>
      </c>
      <c r="BO27">
        <f t="shared" si="7"/>
        <v>3</v>
      </c>
      <c r="BP27">
        <f t="shared" si="8"/>
        <v>0</v>
      </c>
      <c r="BQ27">
        <f t="shared" si="9"/>
        <v>10</v>
      </c>
      <c r="BR27">
        <f t="shared" si="10"/>
        <v>0</v>
      </c>
      <c r="BS27">
        <f t="shared" si="11"/>
        <v>0</v>
      </c>
      <c r="BT27">
        <f t="shared" si="12"/>
        <v>0</v>
      </c>
      <c r="BU27">
        <f t="shared" si="13"/>
        <v>0</v>
      </c>
      <c r="BV27">
        <f t="shared" si="14"/>
        <v>3</v>
      </c>
      <c r="BW27">
        <f t="shared" si="15"/>
        <v>10</v>
      </c>
      <c r="BX27">
        <f t="shared" si="16"/>
        <v>0</v>
      </c>
      <c r="BY27">
        <f t="shared" si="17"/>
        <v>3</v>
      </c>
      <c r="BZ27">
        <f t="shared" si="18"/>
        <v>1.5</v>
      </c>
      <c r="CA27">
        <f t="shared" si="19"/>
        <v>0</v>
      </c>
      <c r="CB27">
        <f t="shared" si="20"/>
        <v>1.5</v>
      </c>
      <c r="CC27">
        <f t="shared" si="21"/>
        <v>0</v>
      </c>
      <c r="CD27">
        <f t="shared" si="22"/>
        <v>0</v>
      </c>
      <c r="CE27">
        <f t="shared" si="23"/>
        <v>0</v>
      </c>
      <c r="CF27">
        <f t="shared" si="24"/>
        <v>0</v>
      </c>
      <c r="CG27">
        <f t="shared" si="25"/>
        <v>0</v>
      </c>
      <c r="CH27">
        <f t="shared" si="26"/>
        <v>0</v>
      </c>
      <c r="CI27">
        <f t="shared" si="27"/>
        <v>0</v>
      </c>
      <c r="CJ27">
        <f t="shared" si="28"/>
        <v>0</v>
      </c>
      <c r="CK27">
        <f t="shared" si="29"/>
        <v>0</v>
      </c>
      <c r="CL27">
        <f t="shared" si="30"/>
        <v>0</v>
      </c>
      <c r="CM27">
        <f t="shared" si="31"/>
        <v>0</v>
      </c>
      <c r="CN27">
        <f t="shared" si="32"/>
        <v>0</v>
      </c>
      <c r="CO27">
        <f t="shared" si="33"/>
        <v>0</v>
      </c>
      <c r="CP27">
        <f t="shared" si="34"/>
        <v>0</v>
      </c>
      <c r="CQ27">
        <f t="shared" si="35"/>
        <v>0</v>
      </c>
      <c r="CR27">
        <f t="shared" si="36"/>
        <v>0</v>
      </c>
      <c r="CS27">
        <f t="shared" si="37"/>
        <v>0</v>
      </c>
      <c r="CT27">
        <f t="shared" si="38"/>
        <v>0</v>
      </c>
      <c r="CU27">
        <f t="shared" si="39"/>
        <v>1.5</v>
      </c>
      <c r="CV27">
        <f t="shared" si="40"/>
        <v>0</v>
      </c>
      <c r="CW27">
        <f t="shared" si="41"/>
        <v>0</v>
      </c>
      <c r="CX27">
        <f t="shared" si="42"/>
        <v>1.5</v>
      </c>
      <c r="CY27">
        <f t="shared" si="43"/>
        <v>0</v>
      </c>
      <c r="CZ27">
        <f t="shared" si="44"/>
        <v>0</v>
      </c>
      <c r="DA27">
        <f t="shared" si="45"/>
        <v>0</v>
      </c>
      <c r="DB27">
        <f t="shared" si="46"/>
        <v>0</v>
      </c>
      <c r="DC27">
        <f t="shared" si="47"/>
        <v>0</v>
      </c>
      <c r="DD27">
        <f t="shared" si="48"/>
        <v>4.5</v>
      </c>
      <c r="DE27">
        <f t="shared" si="49"/>
        <v>0</v>
      </c>
      <c r="DF27">
        <f t="shared" si="50"/>
        <v>0</v>
      </c>
      <c r="DG27">
        <f t="shared" si="51"/>
        <v>0</v>
      </c>
      <c r="DH27">
        <f t="shared" si="52"/>
        <v>0</v>
      </c>
      <c r="DI27">
        <f t="shared" si="53"/>
        <v>0</v>
      </c>
      <c r="DJ27">
        <f t="shared" si="54"/>
        <v>0</v>
      </c>
      <c r="DK27">
        <f t="shared" si="55"/>
        <v>1.5</v>
      </c>
      <c r="DL27">
        <f t="shared" si="56"/>
        <v>0</v>
      </c>
      <c r="DM27">
        <f t="shared" si="57"/>
        <v>1.5</v>
      </c>
      <c r="DO27">
        <f t="shared" si="58"/>
        <v>47</v>
      </c>
    </row>
    <row r="28" spans="1:119" x14ac:dyDescent="0.35">
      <c r="A28" t="s">
        <v>42</v>
      </c>
      <c r="B28">
        <v>27</v>
      </c>
      <c r="C28" s="10">
        <v>1.5</v>
      </c>
      <c r="D28">
        <v>0</v>
      </c>
      <c r="E28">
        <v>0</v>
      </c>
      <c r="F28">
        <v>0</v>
      </c>
      <c r="G28">
        <v>3</v>
      </c>
      <c r="H28">
        <v>0</v>
      </c>
      <c r="I28">
        <v>0</v>
      </c>
      <c r="J28">
        <v>10</v>
      </c>
      <c r="K28">
        <v>1.5</v>
      </c>
      <c r="L28">
        <v>1.5</v>
      </c>
      <c r="M28">
        <v>0</v>
      </c>
      <c r="N28">
        <v>10</v>
      </c>
      <c r="O28">
        <v>1.5</v>
      </c>
      <c r="P28">
        <v>0</v>
      </c>
      <c r="Q28">
        <v>1.5</v>
      </c>
      <c r="R28">
        <v>3</v>
      </c>
      <c r="S28">
        <v>1.5</v>
      </c>
      <c r="T28">
        <v>1.5</v>
      </c>
      <c r="U28">
        <v>1.5</v>
      </c>
      <c r="V28">
        <v>1.5</v>
      </c>
      <c r="W28">
        <v>10</v>
      </c>
      <c r="X28">
        <v>0</v>
      </c>
      <c r="Y28">
        <v>10</v>
      </c>
      <c r="Z28">
        <v>1.5</v>
      </c>
      <c r="AA28">
        <v>3</v>
      </c>
      <c r="AB28">
        <v>1.5</v>
      </c>
      <c r="AC28">
        <v>10</v>
      </c>
      <c r="AD28">
        <v>10</v>
      </c>
      <c r="AE28">
        <v>1.5</v>
      </c>
      <c r="AF28">
        <v>1.5</v>
      </c>
      <c r="AG28">
        <v>1.5</v>
      </c>
      <c r="AH28">
        <v>1.5</v>
      </c>
      <c r="AI28">
        <v>1.5</v>
      </c>
      <c r="AJ28">
        <v>1.5</v>
      </c>
      <c r="AK28">
        <v>10</v>
      </c>
      <c r="AL28">
        <v>0</v>
      </c>
      <c r="AM28">
        <v>0</v>
      </c>
      <c r="AN28">
        <v>3</v>
      </c>
      <c r="AO28">
        <v>0</v>
      </c>
      <c r="AP28">
        <v>1.5</v>
      </c>
      <c r="AQ28">
        <v>1.5</v>
      </c>
      <c r="AR28">
        <v>0</v>
      </c>
      <c r="AS28">
        <v>0</v>
      </c>
      <c r="AT28">
        <v>3</v>
      </c>
      <c r="AU28">
        <v>10</v>
      </c>
      <c r="AV28">
        <v>1.5</v>
      </c>
      <c r="AW28">
        <v>10</v>
      </c>
      <c r="AX28">
        <v>1.5</v>
      </c>
      <c r="AY28">
        <v>1.5</v>
      </c>
      <c r="AZ28">
        <v>0</v>
      </c>
      <c r="BA28">
        <v>3</v>
      </c>
      <c r="BB28">
        <v>1.5</v>
      </c>
      <c r="BC28">
        <v>0</v>
      </c>
      <c r="BD28">
        <v>1.5</v>
      </c>
      <c r="BE28">
        <v>0</v>
      </c>
      <c r="BF28">
        <v>10</v>
      </c>
      <c r="BG28">
        <v>1.5</v>
      </c>
      <c r="BI28">
        <f t="shared" si="1"/>
        <v>1.5</v>
      </c>
      <c r="BJ28">
        <f t="shared" si="2"/>
        <v>0</v>
      </c>
      <c r="BK28">
        <f t="shared" si="3"/>
        <v>0</v>
      </c>
      <c r="BL28">
        <f t="shared" si="4"/>
        <v>0</v>
      </c>
      <c r="BM28">
        <f t="shared" si="5"/>
        <v>0</v>
      </c>
      <c r="BN28">
        <f t="shared" si="6"/>
        <v>0</v>
      </c>
      <c r="BO28">
        <f t="shared" si="7"/>
        <v>0</v>
      </c>
      <c r="BP28">
        <f t="shared" si="8"/>
        <v>10</v>
      </c>
      <c r="BQ28">
        <f t="shared" si="9"/>
        <v>1.5</v>
      </c>
      <c r="BR28">
        <f t="shared" si="10"/>
        <v>0</v>
      </c>
      <c r="BS28">
        <f t="shared" si="11"/>
        <v>0</v>
      </c>
      <c r="BT28">
        <f t="shared" si="12"/>
        <v>0</v>
      </c>
      <c r="BU28">
        <f t="shared" si="13"/>
        <v>0</v>
      </c>
      <c r="BV28">
        <f t="shared" si="14"/>
        <v>0</v>
      </c>
      <c r="BW28">
        <f t="shared" si="15"/>
        <v>1.5</v>
      </c>
      <c r="BX28">
        <f t="shared" si="16"/>
        <v>0</v>
      </c>
      <c r="BY28">
        <f t="shared" si="17"/>
        <v>1.5</v>
      </c>
      <c r="BZ28">
        <f t="shared" si="18"/>
        <v>1.5</v>
      </c>
      <c r="CA28">
        <f t="shared" si="19"/>
        <v>0</v>
      </c>
      <c r="CB28">
        <f t="shared" si="20"/>
        <v>1.5</v>
      </c>
      <c r="CC28">
        <f t="shared" si="21"/>
        <v>0</v>
      </c>
      <c r="CD28">
        <f t="shared" si="22"/>
        <v>0</v>
      </c>
      <c r="CE28">
        <f t="shared" si="23"/>
        <v>0</v>
      </c>
      <c r="CF28">
        <f t="shared" si="24"/>
        <v>0</v>
      </c>
      <c r="CG28">
        <f t="shared" si="25"/>
        <v>0</v>
      </c>
      <c r="CH28">
        <f t="shared" si="26"/>
        <v>0</v>
      </c>
      <c r="CI28">
        <f t="shared" si="27"/>
        <v>0</v>
      </c>
      <c r="CJ28">
        <f t="shared" si="28"/>
        <v>0</v>
      </c>
      <c r="CK28">
        <f t="shared" si="29"/>
        <v>0</v>
      </c>
      <c r="CL28">
        <f t="shared" si="30"/>
        <v>0</v>
      </c>
      <c r="CM28">
        <f t="shared" si="31"/>
        <v>0</v>
      </c>
      <c r="CN28">
        <f t="shared" si="32"/>
        <v>0</v>
      </c>
      <c r="CO28">
        <f t="shared" si="33"/>
        <v>0</v>
      </c>
      <c r="CP28">
        <f t="shared" si="34"/>
        <v>0</v>
      </c>
      <c r="CQ28">
        <f t="shared" si="35"/>
        <v>0</v>
      </c>
      <c r="CR28">
        <f t="shared" si="36"/>
        <v>0</v>
      </c>
      <c r="CS28">
        <f t="shared" si="37"/>
        <v>0</v>
      </c>
      <c r="CT28">
        <f t="shared" si="38"/>
        <v>0</v>
      </c>
      <c r="CU28">
        <f t="shared" si="39"/>
        <v>0</v>
      </c>
      <c r="CV28">
        <f t="shared" si="40"/>
        <v>0</v>
      </c>
      <c r="CW28">
        <f t="shared" si="41"/>
        <v>0</v>
      </c>
      <c r="CX28">
        <f t="shared" si="42"/>
        <v>0</v>
      </c>
      <c r="CY28">
        <f t="shared" si="43"/>
        <v>0</v>
      </c>
      <c r="CZ28">
        <f t="shared" si="44"/>
        <v>0</v>
      </c>
      <c r="DA28">
        <f t="shared" si="45"/>
        <v>0</v>
      </c>
      <c r="DB28">
        <f t="shared" si="46"/>
        <v>0</v>
      </c>
      <c r="DC28">
        <f t="shared" si="47"/>
        <v>0</v>
      </c>
      <c r="DD28">
        <f t="shared" si="48"/>
        <v>1.5</v>
      </c>
      <c r="DE28">
        <f t="shared" si="49"/>
        <v>0</v>
      </c>
      <c r="DF28">
        <f t="shared" si="50"/>
        <v>0</v>
      </c>
      <c r="DG28">
        <f t="shared" si="51"/>
        <v>3</v>
      </c>
      <c r="DH28">
        <f t="shared" si="52"/>
        <v>0</v>
      </c>
      <c r="DI28">
        <f t="shared" si="53"/>
        <v>0</v>
      </c>
      <c r="DJ28">
        <f t="shared" si="54"/>
        <v>0</v>
      </c>
      <c r="DK28">
        <f t="shared" si="55"/>
        <v>0</v>
      </c>
      <c r="DL28">
        <f t="shared" si="56"/>
        <v>0</v>
      </c>
      <c r="DM28">
        <f t="shared" si="57"/>
        <v>1.5</v>
      </c>
      <c r="DO28">
        <f t="shared" si="58"/>
        <v>25</v>
      </c>
    </row>
    <row r="29" spans="1:119" x14ac:dyDescent="0.35">
      <c r="A29" t="s">
        <v>43</v>
      </c>
      <c r="B29">
        <v>28</v>
      </c>
      <c r="C29" s="10">
        <v>10</v>
      </c>
      <c r="D29">
        <v>1.5</v>
      </c>
      <c r="E29">
        <v>1.5</v>
      </c>
      <c r="F29">
        <v>1.5</v>
      </c>
      <c r="G29">
        <v>3</v>
      </c>
      <c r="H29">
        <v>0</v>
      </c>
      <c r="I29">
        <v>3</v>
      </c>
      <c r="J29">
        <v>10</v>
      </c>
      <c r="K29">
        <v>1.5</v>
      </c>
      <c r="L29">
        <v>1.5</v>
      </c>
      <c r="M29">
        <v>0</v>
      </c>
      <c r="N29">
        <v>10</v>
      </c>
      <c r="O29">
        <v>1.5</v>
      </c>
      <c r="P29">
        <v>0</v>
      </c>
      <c r="Q29">
        <v>3</v>
      </c>
      <c r="R29">
        <v>3</v>
      </c>
      <c r="S29">
        <v>1.5</v>
      </c>
      <c r="T29">
        <v>4.5</v>
      </c>
      <c r="U29">
        <v>1.5</v>
      </c>
      <c r="V29">
        <v>10</v>
      </c>
      <c r="W29">
        <v>1.5</v>
      </c>
      <c r="X29">
        <v>0</v>
      </c>
      <c r="Y29">
        <v>3</v>
      </c>
      <c r="Z29">
        <v>0</v>
      </c>
      <c r="AA29">
        <v>10</v>
      </c>
      <c r="AB29">
        <v>0</v>
      </c>
      <c r="AC29">
        <v>10</v>
      </c>
      <c r="AD29">
        <v>10</v>
      </c>
      <c r="AE29">
        <v>0</v>
      </c>
      <c r="AF29">
        <v>3</v>
      </c>
      <c r="AG29">
        <v>0</v>
      </c>
      <c r="AH29">
        <v>1.5</v>
      </c>
      <c r="AI29">
        <v>1.5</v>
      </c>
      <c r="AJ29">
        <v>0</v>
      </c>
      <c r="AK29">
        <v>3</v>
      </c>
      <c r="AL29">
        <v>0</v>
      </c>
      <c r="AM29">
        <v>0</v>
      </c>
      <c r="AN29">
        <v>10</v>
      </c>
      <c r="AO29">
        <v>3</v>
      </c>
      <c r="AP29">
        <v>1.5</v>
      </c>
      <c r="AQ29">
        <v>0</v>
      </c>
      <c r="AR29">
        <v>0</v>
      </c>
      <c r="AS29">
        <v>0</v>
      </c>
      <c r="AT29">
        <v>10</v>
      </c>
      <c r="AU29">
        <v>3</v>
      </c>
      <c r="AV29">
        <v>1.5</v>
      </c>
      <c r="AW29">
        <v>1.5</v>
      </c>
      <c r="AX29">
        <v>0</v>
      </c>
      <c r="AY29">
        <v>10</v>
      </c>
      <c r="AZ29">
        <v>1.5</v>
      </c>
      <c r="BA29">
        <v>10</v>
      </c>
      <c r="BB29">
        <v>0</v>
      </c>
      <c r="BC29">
        <v>0</v>
      </c>
      <c r="BD29">
        <v>1.5</v>
      </c>
      <c r="BE29">
        <v>3</v>
      </c>
      <c r="BF29">
        <v>3</v>
      </c>
      <c r="BG29">
        <v>1.5</v>
      </c>
      <c r="BI29">
        <f t="shared" si="1"/>
        <v>10</v>
      </c>
      <c r="BJ29">
        <f t="shared" si="2"/>
        <v>0</v>
      </c>
      <c r="BK29">
        <f t="shared" si="3"/>
        <v>0</v>
      </c>
      <c r="BL29">
        <f t="shared" si="4"/>
        <v>1.5</v>
      </c>
      <c r="BM29">
        <f t="shared" si="5"/>
        <v>0</v>
      </c>
      <c r="BN29">
        <f t="shared" si="6"/>
        <v>0</v>
      </c>
      <c r="BO29">
        <f t="shared" si="7"/>
        <v>3</v>
      </c>
      <c r="BP29">
        <f t="shared" si="8"/>
        <v>10</v>
      </c>
      <c r="BQ29">
        <f t="shared" si="9"/>
        <v>1.5</v>
      </c>
      <c r="BR29">
        <f t="shared" si="10"/>
        <v>0</v>
      </c>
      <c r="BS29">
        <f t="shared" si="11"/>
        <v>0</v>
      </c>
      <c r="BT29">
        <f t="shared" si="12"/>
        <v>0</v>
      </c>
      <c r="BU29">
        <f t="shared" si="13"/>
        <v>0</v>
      </c>
      <c r="BV29">
        <f t="shared" si="14"/>
        <v>0</v>
      </c>
      <c r="BW29">
        <f t="shared" si="15"/>
        <v>3</v>
      </c>
      <c r="BX29">
        <f t="shared" si="16"/>
        <v>0</v>
      </c>
      <c r="BY29">
        <f t="shared" si="17"/>
        <v>1.5</v>
      </c>
      <c r="BZ29">
        <f t="shared" si="18"/>
        <v>4.5</v>
      </c>
      <c r="CA29">
        <f t="shared" si="19"/>
        <v>0</v>
      </c>
      <c r="CB29">
        <f t="shared" si="20"/>
        <v>10</v>
      </c>
      <c r="CC29">
        <f t="shared" si="21"/>
        <v>0</v>
      </c>
      <c r="CD29">
        <f t="shared" si="22"/>
        <v>0</v>
      </c>
      <c r="CE29">
        <f t="shared" si="23"/>
        <v>0</v>
      </c>
      <c r="CF29">
        <f t="shared" si="24"/>
        <v>0</v>
      </c>
      <c r="CG29">
        <f t="shared" si="25"/>
        <v>0</v>
      </c>
      <c r="CH29">
        <f t="shared" si="26"/>
        <v>0</v>
      </c>
      <c r="CI29">
        <f t="shared" si="27"/>
        <v>0</v>
      </c>
      <c r="CJ29">
        <f t="shared" si="28"/>
        <v>0</v>
      </c>
      <c r="CK29">
        <f t="shared" si="29"/>
        <v>0</v>
      </c>
      <c r="CL29">
        <f t="shared" si="30"/>
        <v>0</v>
      </c>
      <c r="CM29">
        <f t="shared" si="31"/>
        <v>0</v>
      </c>
      <c r="CN29">
        <f t="shared" si="32"/>
        <v>0</v>
      </c>
      <c r="CO29">
        <f t="shared" si="33"/>
        <v>0</v>
      </c>
      <c r="CP29">
        <f t="shared" si="34"/>
        <v>0</v>
      </c>
      <c r="CQ29">
        <f t="shared" si="35"/>
        <v>0</v>
      </c>
      <c r="CR29">
        <f t="shared" si="36"/>
        <v>0</v>
      </c>
      <c r="CS29">
        <f t="shared" si="37"/>
        <v>0</v>
      </c>
      <c r="CT29">
        <f t="shared" si="38"/>
        <v>0</v>
      </c>
      <c r="CU29">
        <f t="shared" si="39"/>
        <v>3</v>
      </c>
      <c r="CV29">
        <f t="shared" si="40"/>
        <v>0</v>
      </c>
      <c r="CW29">
        <f t="shared" si="41"/>
        <v>0</v>
      </c>
      <c r="CX29">
        <f t="shared" si="42"/>
        <v>0</v>
      </c>
      <c r="CY29">
        <f t="shared" si="43"/>
        <v>0</v>
      </c>
      <c r="CZ29">
        <f t="shared" si="44"/>
        <v>0</v>
      </c>
      <c r="DA29">
        <f t="shared" si="45"/>
        <v>0</v>
      </c>
      <c r="DB29">
        <f t="shared" si="46"/>
        <v>0</v>
      </c>
      <c r="DC29">
        <f t="shared" si="47"/>
        <v>0</v>
      </c>
      <c r="DD29">
        <f t="shared" si="48"/>
        <v>0</v>
      </c>
      <c r="DE29">
        <f t="shared" si="49"/>
        <v>0</v>
      </c>
      <c r="DF29">
        <f t="shared" si="50"/>
        <v>0</v>
      </c>
      <c r="DG29">
        <f t="shared" si="51"/>
        <v>10</v>
      </c>
      <c r="DH29">
        <f t="shared" si="52"/>
        <v>0</v>
      </c>
      <c r="DI29">
        <f t="shared" si="53"/>
        <v>0</v>
      </c>
      <c r="DJ29">
        <f t="shared" si="54"/>
        <v>0</v>
      </c>
      <c r="DK29">
        <f t="shared" si="55"/>
        <v>3</v>
      </c>
      <c r="DL29">
        <f t="shared" si="56"/>
        <v>0</v>
      </c>
      <c r="DM29">
        <f t="shared" si="57"/>
        <v>1.5</v>
      </c>
      <c r="DO29">
        <f t="shared" si="58"/>
        <v>62.5</v>
      </c>
    </row>
    <row r="30" spans="1:119" x14ac:dyDescent="0.35">
      <c r="A30" t="s">
        <v>72</v>
      </c>
      <c r="B30">
        <v>29</v>
      </c>
      <c r="C30" s="10">
        <v>1.5</v>
      </c>
      <c r="D30">
        <v>4.5</v>
      </c>
      <c r="E30">
        <v>1.5</v>
      </c>
      <c r="F30">
        <v>1.5</v>
      </c>
      <c r="G30">
        <v>0</v>
      </c>
      <c r="H30">
        <v>1.5</v>
      </c>
      <c r="I30">
        <v>10</v>
      </c>
      <c r="J30">
        <v>0</v>
      </c>
      <c r="K30">
        <v>4.5</v>
      </c>
      <c r="L30">
        <v>1.5</v>
      </c>
      <c r="M30">
        <v>0</v>
      </c>
      <c r="N30">
        <v>0</v>
      </c>
      <c r="O30">
        <v>10</v>
      </c>
      <c r="P30">
        <v>0</v>
      </c>
      <c r="Q30">
        <v>6</v>
      </c>
      <c r="R30">
        <v>0</v>
      </c>
      <c r="S30">
        <v>1.5</v>
      </c>
      <c r="T30">
        <v>1.5</v>
      </c>
      <c r="U30">
        <v>0</v>
      </c>
      <c r="V30">
        <v>1.5</v>
      </c>
      <c r="W30">
        <v>3</v>
      </c>
      <c r="X30">
        <v>1.5</v>
      </c>
      <c r="Y30">
        <v>3</v>
      </c>
      <c r="Z30">
        <v>1.5</v>
      </c>
      <c r="AA30">
        <v>1.5</v>
      </c>
      <c r="AB30">
        <v>10</v>
      </c>
      <c r="AC30">
        <v>1.5</v>
      </c>
      <c r="AD30">
        <v>0</v>
      </c>
      <c r="AE30">
        <v>10</v>
      </c>
      <c r="AF30">
        <v>1.5</v>
      </c>
      <c r="AG30">
        <v>1.5</v>
      </c>
      <c r="AH30">
        <v>1.5</v>
      </c>
      <c r="AI30">
        <v>0</v>
      </c>
      <c r="AJ30">
        <v>4.5</v>
      </c>
      <c r="AK30">
        <v>3</v>
      </c>
      <c r="AL30">
        <v>4.5</v>
      </c>
      <c r="AM30">
        <v>3</v>
      </c>
      <c r="AN30">
        <v>1.5</v>
      </c>
      <c r="AO30">
        <v>1.5</v>
      </c>
      <c r="AP30">
        <v>1.5</v>
      </c>
      <c r="AQ30">
        <v>10</v>
      </c>
      <c r="AR30">
        <v>0</v>
      </c>
      <c r="AS30">
        <v>0</v>
      </c>
      <c r="AT30">
        <v>0</v>
      </c>
      <c r="AU30">
        <v>1.5</v>
      </c>
      <c r="AV30">
        <v>10</v>
      </c>
      <c r="AW30">
        <v>10</v>
      </c>
      <c r="AX30">
        <v>1.5</v>
      </c>
      <c r="AY30">
        <v>1.5</v>
      </c>
      <c r="AZ30">
        <v>10</v>
      </c>
      <c r="BA30">
        <v>0</v>
      </c>
      <c r="BB30">
        <v>10</v>
      </c>
      <c r="BC30">
        <v>0</v>
      </c>
      <c r="BD30">
        <v>0</v>
      </c>
      <c r="BE30">
        <v>1.5</v>
      </c>
      <c r="BF30">
        <v>1.5</v>
      </c>
      <c r="BG30">
        <v>0</v>
      </c>
      <c r="BI30">
        <f t="shared" si="1"/>
        <v>1.5</v>
      </c>
      <c r="BJ30">
        <f t="shared" si="2"/>
        <v>0</v>
      </c>
      <c r="BK30">
        <f t="shared" si="3"/>
        <v>0</v>
      </c>
      <c r="BL30">
        <f t="shared" si="4"/>
        <v>1.5</v>
      </c>
      <c r="BM30">
        <f t="shared" si="5"/>
        <v>0</v>
      </c>
      <c r="BN30">
        <f t="shared" si="6"/>
        <v>0</v>
      </c>
      <c r="BO30">
        <f t="shared" si="7"/>
        <v>10</v>
      </c>
      <c r="BP30">
        <f t="shared" si="8"/>
        <v>0</v>
      </c>
      <c r="BQ30">
        <f t="shared" si="9"/>
        <v>4.5</v>
      </c>
      <c r="BR30">
        <f t="shared" si="10"/>
        <v>0</v>
      </c>
      <c r="BS30">
        <f t="shared" si="11"/>
        <v>0</v>
      </c>
      <c r="BT30">
        <f t="shared" si="12"/>
        <v>0</v>
      </c>
      <c r="BU30">
        <f t="shared" si="13"/>
        <v>0</v>
      </c>
      <c r="BV30">
        <f t="shared" si="14"/>
        <v>0</v>
      </c>
      <c r="BW30">
        <f t="shared" si="15"/>
        <v>6</v>
      </c>
      <c r="BX30">
        <f t="shared" si="16"/>
        <v>0</v>
      </c>
      <c r="BY30">
        <f t="shared" si="17"/>
        <v>1.5</v>
      </c>
      <c r="BZ30">
        <f t="shared" si="18"/>
        <v>1.5</v>
      </c>
      <c r="CA30">
        <f t="shared" si="19"/>
        <v>0</v>
      </c>
      <c r="CB30">
        <f t="shared" si="20"/>
        <v>1.5</v>
      </c>
      <c r="CC30">
        <f t="shared" si="21"/>
        <v>0</v>
      </c>
      <c r="CD30">
        <f t="shared" si="22"/>
        <v>0</v>
      </c>
      <c r="CE30">
        <f t="shared" si="23"/>
        <v>0</v>
      </c>
      <c r="CF30">
        <f t="shared" si="24"/>
        <v>0</v>
      </c>
      <c r="CG30">
        <f t="shared" si="25"/>
        <v>0</v>
      </c>
      <c r="CH30">
        <f t="shared" si="26"/>
        <v>0</v>
      </c>
      <c r="CI30">
        <f t="shared" si="27"/>
        <v>0</v>
      </c>
      <c r="CJ30">
        <f t="shared" si="28"/>
        <v>0</v>
      </c>
      <c r="CK30">
        <f t="shared" si="29"/>
        <v>0</v>
      </c>
      <c r="CL30">
        <f t="shared" si="30"/>
        <v>0</v>
      </c>
      <c r="CM30">
        <f t="shared" si="31"/>
        <v>0</v>
      </c>
      <c r="CN30">
        <f t="shared" si="32"/>
        <v>0</v>
      </c>
      <c r="CO30">
        <f t="shared" si="33"/>
        <v>0</v>
      </c>
      <c r="CP30">
        <f t="shared" si="34"/>
        <v>0</v>
      </c>
      <c r="CQ30">
        <f t="shared" si="35"/>
        <v>0</v>
      </c>
      <c r="CR30">
        <f t="shared" si="36"/>
        <v>0</v>
      </c>
      <c r="CS30">
        <f t="shared" si="37"/>
        <v>0</v>
      </c>
      <c r="CT30">
        <f t="shared" si="38"/>
        <v>0</v>
      </c>
      <c r="CU30">
        <f t="shared" si="39"/>
        <v>1.5</v>
      </c>
      <c r="CV30">
        <f t="shared" si="40"/>
        <v>0</v>
      </c>
      <c r="CW30">
        <f t="shared" si="41"/>
        <v>0</v>
      </c>
      <c r="CX30">
        <f t="shared" si="42"/>
        <v>0</v>
      </c>
      <c r="CY30">
        <f t="shared" si="43"/>
        <v>0</v>
      </c>
      <c r="CZ30">
        <f t="shared" si="44"/>
        <v>0</v>
      </c>
      <c r="DA30">
        <f t="shared" si="45"/>
        <v>0</v>
      </c>
      <c r="DB30">
        <f t="shared" si="46"/>
        <v>0</v>
      </c>
      <c r="DC30">
        <f t="shared" si="47"/>
        <v>0</v>
      </c>
      <c r="DD30">
        <f t="shared" si="48"/>
        <v>1.5</v>
      </c>
      <c r="DE30">
        <f t="shared" si="49"/>
        <v>0</v>
      </c>
      <c r="DF30">
        <f t="shared" si="50"/>
        <v>0</v>
      </c>
      <c r="DG30">
        <f t="shared" si="51"/>
        <v>0</v>
      </c>
      <c r="DH30">
        <f t="shared" si="52"/>
        <v>0</v>
      </c>
      <c r="DI30">
        <f t="shared" si="53"/>
        <v>0</v>
      </c>
      <c r="DJ30">
        <f t="shared" si="54"/>
        <v>0</v>
      </c>
      <c r="DK30">
        <f t="shared" si="55"/>
        <v>1.5</v>
      </c>
      <c r="DL30">
        <f t="shared" si="56"/>
        <v>0</v>
      </c>
      <c r="DM30">
        <f t="shared" si="57"/>
        <v>0</v>
      </c>
      <c r="DO30">
        <f t="shared" si="58"/>
        <v>32.5</v>
      </c>
    </row>
    <row r="31" spans="1:119" x14ac:dyDescent="0.35">
      <c r="A31" t="s">
        <v>44</v>
      </c>
      <c r="B31">
        <v>30</v>
      </c>
      <c r="C31" s="10">
        <v>3</v>
      </c>
      <c r="D31">
        <v>1.5</v>
      </c>
      <c r="E31">
        <v>0</v>
      </c>
      <c r="F31">
        <v>1.5</v>
      </c>
      <c r="G31">
        <v>0</v>
      </c>
      <c r="H31">
        <v>0</v>
      </c>
      <c r="I31">
        <v>1.5</v>
      </c>
      <c r="J31">
        <v>0</v>
      </c>
      <c r="K31">
        <v>10</v>
      </c>
      <c r="L31">
        <v>10</v>
      </c>
      <c r="M31">
        <v>1.5</v>
      </c>
      <c r="N31">
        <v>0</v>
      </c>
      <c r="O31">
        <v>3</v>
      </c>
      <c r="P31">
        <v>1.5</v>
      </c>
      <c r="Q31">
        <v>3</v>
      </c>
      <c r="R31">
        <v>0</v>
      </c>
      <c r="S31">
        <v>10</v>
      </c>
      <c r="T31">
        <v>0</v>
      </c>
      <c r="U31">
        <v>1.5</v>
      </c>
      <c r="V31">
        <v>3</v>
      </c>
      <c r="W31">
        <v>3</v>
      </c>
      <c r="X31">
        <v>1.5</v>
      </c>
      <c r="Y31">
        <v>3</v>
      </c>
      <c r="Z31">
        <v>1.5</v>
      </c>
      <c r="AA31">
        <v>10</v>
      </c>
      <c r="AB31">
        <v>1.5</v>
      </c>
      <c r="AC31">
        <v>1.5</v>
      </c>
      <c r="AD31">
        <v>3</v>
      </c>
      <c r="AE31">
        <v>1.5</v>
      </c>
      <c r="AF31">
        <v>10</v>
      </c>
      <c r="AG31">
        <v>3</v>
      </c>
      <c r="AH31">
        <v>0</v>
      </c>
      <c r="AI31">
        <v>0</v>
      </c>
      <c r="AJ31">
        <v>3</v>
      </c>
      <c r="AK31">
        <v>10</v>
      </c>
      <c r="AL31">
        <v>1.5</v>
      </c>
      <c r="AM31">
        <v>1.5</v>
      </c>
      <c r="AN31">
        <v>10</v>
      </c>
      <c r="AO31">
        <v>1.5</v>
      </c>
      <c r="AP31">
        <v>1.5</v>
      </c>
      <c r="AQ31">
        <v>1.5</v>
      </c>
      <c r="AR31">
        <v>1.5</v>
      </c>
      <c r="AS31">
        <v>1.5</v>
      </c>
      <c r="AT31">
        <v>3</v>
      </c>
      <c r="AU31">
        <v>1.5</v>
      </c>
      <c r="AV31">
        <v>10</v>
      </c>
      <c r="AW31">
        <v>1.5</v>
      </c>
      <c r="AX31">
        <v>3</v>
      </c>
      <c r="AY31">
        <v>3</v>
      </c>
      <c r="AZ31">
        <v>1.5</v>
      </c>
      <c r="BA31">
        <v>3</v>
      </c>
      <c r="BB31">
        <v>3</v>
      </c>
      <c r="BC31">
        <v>0</v>
      </c>
      <c r="BD31">
        <v>0</v>
      </c>
      <c r="BE31">
        <v>0</v>
      </c>
      <c r="BF31">
        <v>1.5</v>
      </c>
      <c r="BG31">
        <v>1.5</v>
      </c>
      <c r="BI31">
        <f t="shared" si="1"/>
        <v>3</v>
      </c>
      <c r="BJ31">
        <f t="shared" si="2"/>
        <v>0</v>
      </c>
      <c r="BK31">
        <f t="shared" si="3"/>
        <v>0</v>
      </c>
      <c r="BL31">
        <f t="shared" si="4"/>
        <v>1.5</v>
      </c>
      <c r="BM31">
        <f t="shared" si="5"/>
        <v>0</v>
      </c>
      <c r="BN31">
        <f t="shared" si="6"/>
        <v>0</v>
      </c>
      <c r="BO31">
        <f t="shared" si="7"/>
        <v>1.5</v>
      </c>
      <c r="BP31">
        <f t="shared" si="8"/>
        <v>0</v>
      </c>
      <c r="BQ31">
        <f t="shared" si="9"/>
        <v>10</v>
      </c>
      <c r="BR31">
        <f t="shared" si="10"/>
        <v>0</v>
      </c>
      <c r="BS31">
        <f t="shared" si="11"/>
        <v>0</v>
      </c>
      <c r="BT31">
        <f t="shared" si="12"/>
        <v>0</v>
      </c>
      <c r="BU31">
        <f t="shared" si="13"/>
        <v>0</v>
      </c>
      <c r="BV31">
        <f t="shared" si="14"/>
        <v>1.5</v>
      </c>
      <c r="BW31">
        <f t="shared" si="15"/>
        <v>3</v>
      </c>
      <c r="BX31">
        <f t="shared" si="16"/>
        <v>0</v>
      </c>
      <c r="BY31">
        <f t="shared" si="17"/>
        <v>10</v>
      </c>
      <c r="BZ31">
        <f t="shared" si="18"/>
        <v>0</v>
      </c>
      <c r="CA31">
        <f t="shared" si="19"/>
        <v>0</v>
      </c>
      <c r="CB31">
        <f t="shared" si="20"/>
        <v>3</v>
      </c>
      <c r="CC31">
        <f t="shared" si="21"/>
        <v>0</v>
      </c>
      <c r="CD31">
        <f t="shared" si="22"/>
        <v>0</v>
      </c>
      <c r="CE31">
        <f t="shared" si="23"/>
        <v>0</v>
      </c>
      <c r="CF31">
        <f t="shared" si="24"/>
        <v>0</v>
      </c>
      <c r="CG31">
        <f t="shared" si="25"/>
        <v>0</v>
      </c>
      <c r="CH31">
        <f t="shared" si="26"/>
        <v>0</v>
      </c>
      <c r="CI31">
        <f t="shared" si="27"/>
        <v>0</v>
      </c>
      <c r="CJ31">
        <f t="shared" si="28"/>
        <v>0</v>
      </c>
      <c r="CK31">
        <f t="shared" si="29"/>
        <v>0</v>
      </c>
      <c r="CL31">
        <f t="shared" si="30"/>
        <v>0</v>
      </c>
      <c r="CM31">
        <f t="shared" si="31"/>
        <v>0</v>
      </c>
      <c r="CN31">
        <f t="shared" si="32"/>
        <v>0</v>
      </c>
      <c r="CO31">
        <f t="shared" si="33"/>
        <v>0</v>
      </c>
      <c r="CP31">
        <f t="shared" si="34"/>
        <v>0</v>
      </c>
      <c r="CQ31">
        <f t="shared" si="35"/>
        <v>0</v>
      </c>
      <c r="CR31">
        <f t="shared" si="36"/>
        <v>0</v>
      </c>
      <c r="CS31">
        <f t="shared" si="37"/>
        <v>0</v>
      </c>
      <c r="CT31">
        <f t="shared" si="38"/>
        <v>0</v>
      </c>
      <c r="CU31">
        <f t="shared" si="39"/>
        <v>1.5</v>
      </c>
      <c r="CV31">
        <f t="shared" si="40"/>
        <v>0</v>
      </c>
      <c r="CW31">
        <f t="shared" si="41"/>
        <v>0</v>
      </c>
      <c r="CX31">
        <f t="shared" si="42"/>
        <v>1.5</v>
      </c>
      <c r="CY31">
        <f t="shared" si="43"/>
        <v>0</v>
      </c>
      <c r="CZ31">
        <f t="shared" si="44"/>
        <v>0</v>
      </c>
      <c r="DA31">
        <f t="shared" si="45"/>
        <v>0</v>
      </c>
      <c r="DB31">
        <f t="shared" si="46"/>
        <v>0</v>
      </c>
      <c r="DC31">
        <f t="shared" si="47"/>
        <v>0</v>
      </c>
      <c r="DD31">
        <f t="shared" si="48"/>
        <v>3</v>
      </c>
      <c r="DE31">
        <f t="shared" si="49"/>
        <v>0</v>
      </c>
      <c r="DF31">
        <f t="shared" si="50"/>
        <v>0</v>
      </c>
      <c r="DG31">
        <f t="shared" si="51"/>
        <v>3</v>
      </c>
      <c r="DH31">
        <f t="shared" si="52"/>
        <v>0</v>
      </c>
      <c r="DI31">
        <f t="shared" si="53"/>
        <v>0</v>
      </c>
      <c r="DJ31">
        <f t="shared" si="54"/>
        <v>0</v>
      </c>
      <c r="DK31">
        <f t="shared" si="55"/>
        <v>0</v>
      </c>
      <c r="DL31">
        <f t="shared" si="56"/>
        <v>0</v>
      </c>
      <c r="DM31">
        <f t="shared" si="57"/>
        <v>1.5</v>
      </c>
      <c r="DO31">
        <f t="shared" si="58"/>
        <v>44</v>
      </c>
    </row>
    <row r="32" spans="1:119" x14ac:dyDescent="0.35">
      <c r="A32" t="s">
        <v>22</v>
      </c>
      <c r="B32">
        <v>31</v>
      </c>
      <c r="C32" s="10">
        <v>3</v>
      </c>
      <c r="D32">
        <v>3</v>
      </c>
      <c r="E32">
        <v>1.5</v>
      </c>
      <c r="F32">
        <v>1.5</v>
      </c>
      <c r="G32">
        <v>0</v>
      </c>
      <c r="H32">
        <v>4.5</v>
      </c>
      <c r="I32">
        <v>4.5</v>
      </c>
      <c r="J32">
        <v>0</v>
      </c>
      <c r="K32">
        <v>6</v>
      </c>
      <c r="L32">
        <v>10</v>
      </c>
      <c r="M32">
        <v>10</v>
      </c>
      <c r="N32">
        <v>0</v>
      </c>
      <c r="O32">
        <v>1.5</v>
      </c>
      <c r="P32">
        <v>3</v>
      </c>
      <c r="Q32">
        <v>10</v>
      </c>
      <c r="R32">
        <v>3</v>
      </c>
      <c r="S32">
        <v>10</v>
      </c>
      <c r="T32">
        <v>3</v>
      </c>
      <c r="U32">
        <v>10</v>
      </c>
      <c r="V32">
        <v>3</v>
      </c>
      <c r="W32">
        <v>10</v>
      </c>
      <c r="X32">
        <v>10</v>
      </c>
      <c r="Y32">
        <v>1.5</v>
      </c>
      <c r="Z32">
        <v>10</v>
      </c>
      <c r="AA32">
        <v>1.5</v>
      </c>
      <c r="AB32">
        <v>3</v>
      </c>
      <c r="AC32">
        <v>1.5</v>
      </c>
      <c r="AD32">
        <v>0</v>
      </c>
      <c r="AE32">
        <v>1.5</v>
      </c>
      <c r="AF32">
        <v>3</v>
      </c>
      <c r="AG32">
        <v>10</v>
      </c>
      <c r="AH32">
        <v>3</v>
      </c>
      <c r="AI32">
        <v>1.5</v>
      </c>
      <c r="AJ32">
        <v>10</v>
      </c>
      <c r="AK32">
        <v>3</v>
      </c>
      <c r="AL32">
        <v>6</v>
      </c>
      <c r="AM32">
        <v>4.5</v>
      </c>
      <c r="AN32">
        <v>1.5</v>
      </c>
      <c r="AO32">
        <v>10</v>
      </c>
      <c r="AP32">
        <v>3</v>
      </c>
      <c r="AQ32">
        <v>3</v>
      </c>
      <c r="AR32">
        <v>3</v>
      </c>
      <c r="AS32">
        <v>10</v>
      </c>
      <c r="AT32">
        <v>1.5</v>
      </c>
      <c r="AU32">
        <v>3</v>
      </c>
      <c r="AV32">
        <v>3</v>
      </c>
      <c r="AW32">
        <v>1.5</v>
      </c>
      <c r="AX32">
        <v>10</v>
      </c>
      <c r="AY32">
        <v>0</v>
      </c>
      <c r="AZ32">
        <v>1.5</v>
      </c>
      <c r="BA32">
        <v>0</v>
      </c>
      <c r="BB32">
        <v>10</v>
      </c>
      <c r="BC32">
        <v>3</v>
      </c>
      <c r="BD32">
        <v>1.5</v>
      </c>
      <c r="BE32">
        <v>4.5</v>
      </c>
      <c r="BF32">
        <v>1.5</v>
      </c>
      <c r="BG32">
        <v>1.5</v>
      </c>
      <c r="BI32">
        <f t="shared" si="1"/>
        <v>3</v>
      </c>
      <c r="BJ32">
        <f t="shared" si="2"/>
        <v>0</v>
      </c>
      <c r="BK32">
        <f t="shared" si="3"/>
        <v>0</v>
      </c>
      <c r="BL32">
        <f t="shared" si="4"/>
        <v>1.5</v>
      </c>
      <c r="BM32">
        <f t="shared" si="5"/>
        <v>0</v>
      </c>
      <c r="BN32">
        <f t="shared" si="6"/>
        <v>0</v>
      </c>
      <c r="BO32">
        <f t="shared" si="7"/>
        <v>4.5</v>
      </c>
      <c r="BP32">
        <f t="shared" si="8"/>
        <v>0</v>
      </c>
      <c r="BQ32">
        <f t="shared" si="9"/>
        <v>6</v>
      </c>
      <c r="BR32">
        <f t="shared" si="10"/>
        <v>0</v>
      </c>
      <c r="BS32">
        <f t="shared" si="11"/>
        <v>0</v>
      </c>
      <c r="BT32">
        <f t="shared" si="12"/>
        <v>0</v>
      </c>
      <c r="BU32">
        <f t="shared" si="13"/>
        <v>0</v>
      </c>
      <c r="BV32">
        <f t="shared" si="14"/>
        <v>3</v>
      </c>
      <c r="BW32">
        <f t="shared" si="15"/>
        <v>10</v>
      </c>
      <c r="BX32">
        <f t="shared" si="16"/>
        <v>0</v>
      </c>
      <c r="BY32">
        <f t="shared" si="17"/>
        <v>10</v>
      </c>
      <c r="BZ32">
        <f t="shared" si="18"/>
        <v>3</v>
      </c>
      <c r="CA32">
        <f t="shared" si="19"/>
        <v>0</v>
      </c>
      <c r="CB32">
        <f t="shared" si="20"/>
        <v>3</v>
      </c>
      <c r="CC32">
        <f t="shared" si="21"/>
        <v>0</v>
      </c>
      <c r="CD32">
        <f t="shared" si="22"/>
        <v>0</v>
      </c>
      <c r="CE32">
        <f t="shared" si="23"/>
        <v>0</v>
      </c>
      <c r="CF32">
        <f t="shared" si="24"/>
        <v>0</v>
      </c>
      <c r="CG32">
        <f t="shared" si="25"/>
        <v>0</v>
      </c>
      <c r="CH32">
        <f t="shared" si="26"/>
        <v>0</v>
      </c>
      <c r="CI32">
        <f t="shared" si="27"/>
        <v>0</v>
      </c>
      <c r="CJ32">
        <f t="shared" si="28"/>
        <v>0</v>
      </c>
      <c r="CK32">
        <f t="shared" si="29"/>
        <v>0</v>
      </c>
      <c r="CL32">
        <f t="shared" si="30"/>
        <v>0</v>
      </c>
      <c r="CM32">
        <f t="shared" si="31"/>
        <v>0</v>
      </c>
      <c r="CN32">
        <f t="shared" si="32"/>
        <v>0</v>
      </c>
      <c r="CO32">
        <f t="shared" si="33"/>
        <v>0</v>
      </c>
      <c r="CP32">
        <f t="shared" si="34"/>
        <v>0</v>
      </c>
      <c r="CQ32">
        <f t="shared" si="35"/>
        <v>0</v>
      </c>
      <c r="CR32">
        <f t="shared" si="36"/>
        <v>0</v>
      </c>
      <c r="CS32">
        <f t="shared" si="37"/>
        <v>0</v>
      </c>
      <c r="CT32">
        <f t="shared" si="38"/>
        <v>0</v>
      </c>
      <c r="CU32">
        <f t="shared" si="39"/>
        <v>10</v>
      </c>
      <c r="CV32">
        <f t="shared" si="40"/>
        <v>0</v>
      </c>
      <c r="CW32">
        <f t="shared" si="41"/>
        <v>0</v>
      </c>
      <c r="CX32">
        <f t="shared" si="42"/>
        <v>3</v>
      </c>
      <c r="CY32">
        <f t="shared" si="43"/>
        <v>0</v>
      </c>
      <c r="CZ32">
        <f t="shared" si="44"/>
        <v>0</v>
      </c>
      <c r="DA32">
        <f t="shared" si="45"/>
        <v>0</v>
      </c>
      <c r="DB32">
        <f t="shared" si="46"/>
        <v>0</v>
      </c>
      <c r="DC32">
        <f t="shared" si="47"/>
        <v>0</v>
      </c>
      <c r="DD32">
        <f t="shared" si="48"/>
        <v>10</v>
      </c>
      <c r="DE32">
        <f t="shared" si="49"/>
        <v>0</v>
      </c>
      <c r="DF32">
        <f t="shared" si="50"/>
        <v>0</v>
      </c>
      <c r="DG32">
        <f t="shared" si="51"/>
        <v>0</v>
      </c>
      <c r="DH32">
        <f t="shared" si="52"/>
        <v>0</v>
      </c>
      <c r="DI32">
        <f t="shared" si="53"/>
        <v>0</v>
      </c>
      <c r="DJ32">
        <f t="shared" si="54"/>
        <v>0</v>
      </c>
      <c r="DK32">
        <f t="shared" si="55"/>
        <v>4.5</v>
      </c>
      <c r="DL32">
        <f t="shared" si="56"/>
        <v>0</v>
      </c>
      <c r="DM32">
        <f t="shared" si="57"/>
        <v>1.5</v>
      </c>
      <c r="DO32">
        <f t="shared" si="58"/>
        <v>73</v>
      </c>
    </row>
    <row r="33" spans="1:119" x14ac:dyDescent="0.35">
      <c r="A33" t="s">
        <v>45</v>
      </c>
      <c r="B33">
        <v>32</v>
      </c>
      <c r="C33" s="10">
        <v>0</v>
      </c>
      <c r="D33">
        <v>1.5</v>
      </c>
      <c r="E33">
        <v>1.5</v>
      </c>
      <c r="F33">
        <v>0</v>
      </c>
      <c r="G33">
        <v>1.5</v>
      </c>
      <c r="H33">
        <v>10</v>
      </c>
      <c r="I33">
        <v>1.5</v>
      </c>
      <c r="J33">
        <v>10</v>
      </c>
      <c r="K33">
        <v>1.5</v>
      </c>
      <c r="L33">
        <v>1.5</v>
      </c>
      <c r="M33">
        <v>3</v>
      </c>
      <c r="N33">
        <v>1.5</v>
      </c>
      <c r="O33">
        <v>1.5</v>
      </c>
      <c r="P33">
        <v>1.5</v>
      </c>
      <c r="Q33">
        <v>3</v>
      </c>
      <c r="R33">
        <v>10</v>
      </c>
      <c r="S33">
        <v>1.5</v>
      </c>
      <c r="T33">
        <v>1.5</v>
      </c>
      <c r="U33">
        <v>3</v>
      </c>
      <c r="V33">
        <v>0</v>
      </c>
      <c r="W33">
        <v>1.5</v>
      </c>
      <c r="X33">
        <v>10</v>
      </c>
      <c r="Y33">
        <v>0</v>
      </c>
      <c r="Z33">
        <v>3</v>
      </c>
      <c r="AA33">
        <v>0</v>
      </c>
      <c r="AB33">
        <v>1.5</v>
      </c>
      <c r="AC33">
        <v>1.5</v>
      </c>
      <c r="AD33">
        <v>1.5</v>
      </c>
      <c r="AE33">
        <v>1.5</v>
      </c>
      <c r="AF33">
        <v>0</v>
      </c>
      <c r="AG33">
        <v>3</v>
      </c>
      <c r="AH33">
        <v>10</v>
      </c>
      <c r="AI33">
        <v>3</v>
      </c>
      <c r="AJ33">
        <v>3</v>
      </c>
      <c r="AK33">
        <v>0</v>
      </c>
      <c r="AL33">
        <v>10</v>
      </c>
      <c r="AM33">
        <v>3</v>
      </c>
      <c r="AN33">
        <v>0</v>
      </c>
      <c r="AO33">
        <v>1.5</v>
      </c>
      <c r="AP33">
        <v>3</v>
      </c>
      <c r="AQ33">
        <v>1.5</v>
      </c>
      <c r="AR33">
        <v>1.5</v>
      </c>
      <c r="AS33">
        <v>3</v>
      </c>
      <c r="AT33">
        <v>1.5</v>
      </c>
      <c r="AU33">
        <v>1.5</v>
      </c>
      <c r="AV33">
        <v>1.5</v>
      </c>
      <c r="AW33">
        <v>0</v>
      </c>
      <c r="AX33">
        <v>1.5</v>
      </c>
      <c r="AY33">
        <v>0</v>
      </c>
      <c r="AZ33">
        <v>1.5</v>
      </c>
      <c r="BA33">
        <v>0</v>
      </c>
      <c r="BB33">
        <v>10</v>
      </c>
      <c r="BC33">
        <v>3</v>
      </c>
      <c r="BD33">
        <v>10</v>
      </c>
      <c r="BE33">
        <v>1.5</v>
      </c>
      <c r="BF33">
        <v>0</v>
      </c>
      <c r="BG33">
        <v>0</v>
      </c>
      <c r="BI33">
        <f t="shared" si="1"/>
        <v>0</v>
      </c>
      <c r="BJ33">
        <f t="shared" si="2"/>
        <v>0</v>
      </c>
      <c r="BK33">
        <f t="shared" si="3"/>
        <v>0</v>
      </c>
      <c r="BL33">
        <f t="shared" si="4"/>
        <v>0</v>
      </c>
      <c r="BM33">
        <f t="shared" si="5"/>
        <v>0</v>
      </c>
      <c r="BN33">
        <f t="shared" si="6"/>
        <v>0</v>
      </c>
      <c r="BO33">
        <f t="shared" si="7"/>
        <v>1.5</v>
      </c>
      <c r="BP33">
        <f t="shared" si="8"/>
        <v>10</v>
      </c>
      <c r="BQ33">
        <f t="shared" si="9"/>
        <v>1.5</v>
      </c>
      <c r="BR33">
        <f t="shared" si="10"/>
        <v>0</v>
      </c>
      <c r="BS33">
        <f t="shared" si="11"/>
        <v>0</v>
      </c>
      <c r="BT33">
        <f t="shared" si="12"/>
        <v>0</v>
      </c>
      <c r="BU33">
        <f t="shared" si="13"/>
        <v>0</v>
      </c>
      <c r="BV33">
        <f t="shared" si="14"/>
        <v>1.5</v>
      </c>
      <c r="BW33">
        <f t="shared" si="15"/>
        <v>3</v>
      </c>
      <c r="BX33">
        <f t="shared" si="16"/>
        <v>0</v>
      </c>
      <c r="BY33">
        <f t="shared" si="17"/>
        <v>1.5</v>
      </c>
      <c r="BZ33">
        <f t="shared" si="18"/>
        <v>1.5</v>
      </c>
      <c r="CA33">
        <f t="shared" si="19"/>
        <v>0</v>
      </c>
      <c r="CB33">
        <f t="shared" si="20"/>
        <v>0</v>
      </c>
      <c r="CC33">
        <f t="shared" si="21"/>
        <v>0</v>
      </c>
      <c r="CD33">
        <f t="shared" si="22"/>
        <v>0</v>
      </c>
      <c r="CE33">
        <f t="shared" si="23"/>
        <v>0</v>
      </c>
      <c r="CF33">
        <f t="shared" si="24"/>
        <v>0</v>
      </c>
      <c r="CG33">
        <f t="shared" si="25"/>
        <v>0</v>
      </c>
      <c r="CH33">
        <f t="shared" si="26"/>
        <v>0</v>
      </c>
      <c r="CI33">
        <f t="shared" si="27"/>
        <v>0</v>
      </c>
      <c r="CJ33">
        <f t="shared" si="28"/>
        <v>0</v>
      </c>
      <c r="CK33">
        <f t="shared" si="29"/>
        <v>0</v>
      </c>
      <c r="CL33">
        <f t="shared" si="30"/>
        <v>0</v>
      </c>
      <c r="CM33">
        <f t="shared" si="31"/>
        <v>0</v>
      </c>
      <c r="CN33">
        <f t="shared" si="32"/>
        <v>0</v>
      </c>
      <c r="CO33">
        <f t="shared" si="33"/>
        <v>0</v>
      </c>
      <c r="CP33">
        <f t="shared" si="34"/>
        <v>0</v>
      </c>
      <c r="CQ33">
        <f t="shared" si="35"/>
        <v>0</v>
      </c>
      <c r="CR33">
        <f t="shared" si="36"/>
        <v>0</v>
      </c>
      <c r="CS33">
        <f t="shared" si="37"/>
        <v>0</v>
      </c>
      <c r="CT33">
        <f t="shared" si="38"/>
        <v>0</v>
      </c>
      <c r="CU33">
        <f t="shared" si="39"/>
        <v>1.5</v>
      </c>
      <c r="CV33">
        <f t="shared" si="40"/>
        <v>0</v>
      </c>
      <c r="CW33">
        <f t="shared" si="41"/>
        <v>0</v>
      </c>
      <c r="CX33">
        <f t="shared" si="42"/>
        <v>1.5</v>
      </c>
      <c r="CY33">
        <f t="shared" si="43"/>
        <v>0</v>
      </c>
      <c r="CZ33">
        <f t="shared" si="44"/>
        <v>0</v>
      </c>
      <c r="DA33">
        <f t="shared" si="45"/>
        <v>0</v>
      </c>
      <c r="DB33">
        <f t="shared" si="46"/>
        <v>0</v>
      </c>
      <c r="DC33">
        <f t="shared" si="47"/>
        <v>0</v>
      </c>
      <c r="DD33">
        <f t="shared" si="48"/>
        <v>1.5</v>
      </c>
      <c r="DE33">
        <f t="shared" si="49"/>
        <v>0</v>
      </c>
      <c r="DF33">
        <f t="shared" si="50"/>
        <v>0</v>
      </c>
      <c r="DG33">
        <f t="shared" si="51"/>
        <v>0</v>
      </c>
      <c r="DH33">
        <f t="shared" si="52"/>
        <v>0</v>
      </c>
      <c r="DI33">
        <f t="shared" si="53"/>
        <v>0</v>
      </c>
      <c r="DJ33">
        <f t="shared" si="54"/>
        <v>0</v>
      </c>
      <c r="DK33">
        <f t="shared" si="55"/>
        <v>1.5</v>
      </c>
      <c r="DL33">
        <f t="shared" si="56"/>
        <v>0</v>
      </c>
      <c r="DM33">
        <f t="shared" si="57"/>
        <v>0</v>
      </c>
      <c r="DO33">
        <f t="shared" si="58"/>
        <v>26.5</v>
      </c>
    </row>
    <row r="34" spans="1:119" x14ac:dyDescent="0.35">
      <c r="A34" t="s">
        <v>46</v>
      </c>
      <c r="B34">
        <v>33</v>
      </c>
      <c r="C34" s="10">
        <v>1.5</v>
      </c>
      <c r="D34">
        <v>0</v>
      </c>
      <c r="E34">
        <v>1.5</v>
      </c>
      <c r="F34">
        <v>1.5</v>
      </c>
      <c r="G34">
        <v>10</v>
      </c>
      <c r="H34">
        <v>1.5</v>
      </c>
      <c r="I34">
        <v>1.5</v>
      </c>
      <c r="J34">
        <v>10</v>
      </c>
      <c r="K34">
        <v>1.5</v>
      </c>
      <c r="L34">
        <v>1.5</v>
      </c>
      <c r="M34">
        <v>10</v>
      </c>
      <c r="N34">
        <v>1.5</v>
      </c>
      <c r="O34">
        <v>1.5</v>
      </c>
      <c r="P34">
        <v>1.5</v>
      </c>
      <c r="Q34">
        <v>1.5</v>
      </c>
      <c r="R34">
        <v>3</v>
      </c>
      <c r="S34">
        <v>0</v>
      </c>
      <c r="T34">
        <v>10</v>
      </c>
      <c r="U34">
        <v>1.5</v>
      </c>
      <c r="V34">
        <v>1.5</v>
      </c>
      <c r="W34">
        <v>0</v>
      </c>
      <c r="X34">
        <v>1.5</v>
      </c>
      <c r="Y34">
        <v>1.5</v>
      </c>
      <c r="Z34">
        <v>1.5</v>
      </c>
      <c r="AA34">
        <v>0</v>
      </c>
      <c r="AB34">
        <v>0</v>
      </c>
      <c r="AC34">
        <v>1.5</v>
      </c>
      <c r="AD34">
        <v>1.5</v>
      </c>
      <c r="AE34">
        <v>0</v>
      </c>
      <c r="AF34">
        <v>0</v>
      </c>
      <c r="AG34">
        <v>1.5</v>
      </c>
      <c r="AH34">
        <v>3</v>
      </c>
      <c r="AI34">
        <v>10</v>
      </c>
      <c r="AJ34">
        <v>0</v>
      </c>
      <c r="AK34">
        <v>0</v>
      </c>
      <c r="AL34">
        <v>0</v>
      </c>
      <c r="AM34">
        <v>0</v>
      </c>
      <c r="AN34">
        <v>1.5</v>
      </c>
      <c r="AO34">
        <v>3</v>
      </c>
      <c r="AP34">
        <v>10</v>
      </c>
      <c r="AQ34">
        <v>0</v>
      </c>
      <c r="AR34">
        <v>10</v>
      </c>
      <c r="AS34">
        <v>1.5</v>
      </c>
      <c r="AT34">
        <v>0</v>
      </c>
      <c r="AU34">
        <v>0</v>
      </c>
      <c r="AV34">
        <v>0</v>
      </c>
      <c r="AW34">
        <v>0</v>
      </c>
      <c r="AX34">
        <v>1.5</v>
      </c>
      <c r="AY34">
        <v>0</v>
      </c>
      <c r="AZ34">
        <v>0</v>
      </c>
      <c r="BA34">
        <v>1.5</v>
      </c>
      <c r="BB34">
        <v>0</v>
      </c>
      <c r="BC34">
        <v>1.5</v>
      </c>
      <c r="BD34">
        <v>10</v>
      </c>
      <c r="BE34">
        <v>3</v>
      </c>
      <c r="BF34">
        <v>1.5</v>
      </c>
      <c r="BG34">
        <v>3</v>
      </c>
      <c r="BI34">
        <f t="shared" si="1"/>
        <v>1.5</v>
      </c>
      <c r="BJ34">
        <f t="shared" si="2"/>
        <v>0</v>
      </c>
      <c r="BK34">
        <f t="shared" si="3"/>
        <v>0</v>
      </c>
      <c r="BL34">
        <f t="shared" si="4"/>
        <v>1.5</v>
      </c>
      <c r="BM34">
        <f t="shared" si="5"/>
        <v>0</v>
      </c>
      <c r="BN34">
        <f t="shared" si="6"/>
        <v>0</v>
      </c>
      <c r="BO34">
        <f t="shared" si="7"/>
        <v>1.5</v>
      </c>
      <c r="BP34">
        <f t="shared" si="8"/>
        <v>10</v>
      </c>
      <c r="BQ34">
        <f t="shared" si="9"/>
        <v>1.5</v>
      </c>
      <c r="BR34">
        <f t="shared" si="10"/>
        <v>0</v>
      </c>
      <c r="BS34">
        <f t="shared" si="11"/>
        <v>0</v>
      </c>
      <c r="BT34">
        <f t="shared" si="12"/>
        <v>0</v>
      </c>
      <c r="BU34">
        <f t="shared" si="13"/>
        <v>0</v>
      </c>
      <c r="BV34">
        <f t="shared" si="14"/>
        <v>1.5</v>
      </c>
      <c r="BW34">
        <f t="shared" si="15"/>
        <v>1.5</v>
      </c>
      <c r="BX34">
        <f t="shared" si="16"/>
        <v>0</v>
      </c>
      <c r="BY34">
        <f t="shared" si="17"/>
        <v>0</v>
      </c>
      <c r="BZ34">
        <f t="shared" si="18"/>
        <v>10</v>
      </c>
      <c r="CA34">
        <f t="shared" si="19"/>
        <v>0</v>
      </c>
      <c r="CB34">
        <f t="shared" si="20"/>
        <v>1.5</v>
      </c>
      <c r="CC34">
        <f t="shared" si="21"/>
        <v>0</v>
      </c>
      <c r="CD34">
        <f t="shared" si="22"/>
        <v>0</v>
      </c>
      <c r="CE34">
        <f t="shared" si="23"/>
        <v>0</v>
      </c>
      <c r="CF34">
        <f t="shared" si="24"/>
        <v>0</v>
      </c>
      <c r="CG34">
        <f t="shared" si="25"/>
        <v>0</v>
      </c>
      <c r="CH34">
        <f t="shared" si="26"/>
        <v>0</v>
      </c>
      <c r="CI34">
        <f t="shared" si="27"/>
        <v>0</v>
      </c>
      <c r="CJ34">
        <f t="shared" si="28"/>
        <v>0</v>
      </c>
      <c r="CK34">
        <f t="shared" si="29"/>
        <v>0</v>
      </c>
      <c r="CL34">
        <f t="shared" si="30"/>
        <v>0</v>
      </c>
      <c r="CM34">
        <f t="shared" si="31"/>
        <v>0</v>
      </c>
      <c r="CN34">
        <f t="shared" si="32"/>
        <v>0</v>
      </c>
      <c r="CO34">
        <f t="shared" si="33"/>
        <v>0</v>
      </c>
      <c r="CP34">
        <f t="shared" si="34"/>
        <v>0</v>
      </c>
      <c r="CQ34">
        <f t="shared" si="35"/>
        <v>0</v>
      </c>
      <c r="CR34">
        <f t="shared" si="36"/>
        <v>0</v>
      </c>
      <c r="CS34">
        <f t="shared" si="37"/>
        <v>0</v>
      </c>
      <c r="CT34">
        <f t="shared" si="38"/>
        <v>0</v>
      </c>
      <c r="CU34">
        <f t="shared" si="39"/>
        <v>3</v>
      </c>
      <c r="CV34">
        <f t="shared" si="40"/>
        <v>0</v>
      </c>
      <c r="CW34">
        <f t="shared" si="41"/>
        <v>0</v>
      </c>
      <c r="CX34">
        <f t="shared" si="42"/>
        <v>10</v>
      </c>
      <c r="CY34">
        <f t="shared" si="43"/>
        <v>0</v>
      </c>
      <c r="CZ34">
        <f t="shared" si="44"/>
        <v>0</v>
      </c>
      <c r="DA34">
        <f t="shared" si="45"/>
        <v>0</v>
      </c>
      <c r="DB34">
        <f t="shared" si="46"/>
        <v>0</v>
      </c>
      <c r="DC34">
        <f t="shared" si="47"/>
        <v>0</v>
      </c>
      <c r="DD34">
        <f t="shared" si="48"/>
        <v>1.5</v>
      </c>
      <c r="DE34">
        <f t="shared" si="49"/>
        <v>0</v>
      </c>
      <c r="DF34">
        <f t="shared" si="50"/>
        <v>0</v>
      </c>
      <c r="DG34">
        <f t="shared" si="51"/>
        <v>1.5</v>
      </c>
      <c r="DH34">
        <f t="shared" si="52"/>
        <v>0</v>
      </c>
      <c r="DI34">
        <f t="shared" si="53"/>
        <v>0</v>
      </c>
      <c r="DJ34">
        <f t="shared" si="54"/>
        <v>0</v>
      </c>
      <c r="DK34">
        <f t="shared" si="55"/>
        <v>3</v>
      </c>
      <c r="DL34">
        <f t="shared" si="56"/>
        <v>0</v>
      </c>
      <c r="DM34">
        <f t="shared" si="57"/>
        <v>3</v>
      </c>
      <c r="DO34">
        <f t="shared" si="58"/>
        <v>52.5</v>
      </c>
    </row>
    <row r="35" spans="1:119" x14ac:dyDescent="0.35">
      <c r="A35" t="s">
        <v>69</v>
      </c>
      <c r="B35">
        <v>34</v>
      </c>
      <c r="C35" s="10">
        <v>1.5</v>
      </c>
      <c r="D35">
        <v>10</v>
      </c>
      <c r="E35">
        <v>3</v>
      </c>
      <c r="F35">
        <v>4.5</v>
      </c>
      <c r="G35">
        <v>0</v>
      </c>
      <c r="H35">
        <v>4.5</v>
      </c>
      <c r="I35">
        <v>3</v>
      </c>
      <c r="J35">
        <v>0</v>
      </c>
      <c r="K35">
        <v>10</v>
      </c>
      <c r="L35">
        <v>3</v>
      </c>
      <c r="M35">
        <v>1.5</v>
      </c>
      <c r="N35">
        <v>0</v>
      </c>
      <c r="O35">
        <v>1.5</v>
      </c>
      <c r="P35">
        <v>4.5</v>
      </c>
      <c r="Q35">
        <v>10</v>
      </c>
      <c r="R35">
        <v>1.5</v>
      </c>
      <c r="S35">
        <v>10</v>
      </c>
      <c r="T35">
        <v>1.5</v>
      </c>
      <c r="U35">
        <v>1.5</v>
      </c>
      <c r="V35">
        <v>1.5</v>
      </c>
      <c r="W35">
        <v>10</v>
      </c>
      <c r="X35">
        <v>4.5</v>
      </c>
      <c r="Y35">
        <v>1.5</v>
      </c>
      <c r="Z35">
        <v>10</v>
      </c>
      <c r="AA35">
        <v>1.5</v>
      </c>
      <c r="AB35">
        <v>10</v>
      </c>
      <c r="AC35">
        <v>1.5</v>
      </c>
      <c r="AD35">
        <v>0</v>
      </c>
      <c r="AE35">
        <v>4.5</v>
      </c>
      <c r="AF35">
        <v>3</v>
      </c>
      <c r="AG35">
        <v>10</v>
      </c>
      <c r="AH35">
        <v>3</v>
      </c>
      <c r="AI35">
        <v>0</v>
      </c>
      <c r="AJ35">
        <v>10</v>
      </c>
      <c r="AK35">
        <v>3</v>
      </c>
      <c r="AL35">
        <v>10</v>
      </c>
      <c r="AM35">
        <v>10</v>
      </c>
      <c r="AN35">
        <v>1.5</v>
      </c>
      <c r="AO35">
        <v>3</v>
      </c>
      <c r="AP35">
        <v>1.5</v>
      </c>
      <c r="AQ35">
        <v>10</v>
      </c>
      <c r="AR35">
        <v>3</v>
      </c>
      <c r="AS35">
        <v>3</v>
      </c>
      <c r="AT35">
        <v>0</v>
      </c>
      <c r="AU35">
        <v>1.5</v>
      </c>
      <c r="AV35">
        <v>3</v>
      </c>
      <c r="AW35">
        <v>4.5</v>
      </c>
      <c r="AX35">
        <v>10</v>
      </c>
      <c r="AY35">
        <v>1.5</v>
      </c>
      <c r="AZ35">
        <v>3</v>
      </c>
      <c r="BA35">
        <v>0</v>
      </c>
      <c r="BB35">
        <v>10</v>
      </c>
      <c r="BC35">
        <v>3</v>
      </c>
      <c r="BD35">
        <v>0</v>
      </c>
      <c r="BE35">
        <v>3</v>
      </c>
      <c r="BF35">
        <v>1.5</v>
      </c>
      <c r="BG35">
        <v>3</v>
      </c>
      <c r="BI35">
        <f t="shared" si="1"/>
        <v>1.5</v>
      </c>
      <c r="BJ35">
        <f t="shared" si="2"/>
        <v>0</v>
      </c>
      <c r="BK35">
        <f t="shared" si="3"/>
        <v>0</v>
      </c>
      <c r="BL35">
        <f t="shared" si="4"/>
        <v>4.5</v>
      </c>
      <c r="BM35">
        <f t="shared" si="5"/>
        <v>0</v>
      </c>
      <c r="BN35">
        <f t="shared" si="6"/>
        <v>0</v>
      </c>
      <c r="BO35">
        <f t="shared" si="7"/>
        <v>3</v>
      </c>
      <c r="BP35">
        <f t="shared" si="8"/>
        <v>0</v>
      </c>
      <c r="BQ35">
        <f t="shared" si="9"/>
        <v>10</v>
      </c>
      <c r="BR35">
        <f t="shared" si="10"/>
        <v>0</v>
      </c>
      <c r="BS35">
        <f t="shared" si="11"/>
        <v>0</v>
      </c>
      <c r="BT35">
        <f t="shared" si="12"/>
        <v>0</v>
      </c>
      <c r="BU35">
        <f t="shared" si="13"/>
        <v>0</v>
      </c>
      <c r="BV35">
        <f t="shared" si="14"/>
        <v>4.5</v>
      </c>
      <c r="BW35">
        <f t="shared" si="15"/>
        <v>10</v>
      </c>
      <c r="BX35">
        <f t="shared" si="16"/>
        <v>0</v>
      </c>
      <c r="BY35">
        <f t="shared" si="17"/>
        <v>10</v>
      </c>
      <c r="BZ35">
        <f t="shared" si="18"/>
        <v>1.5</v>
      </c>
      <c r="CA35">
        <f t="shared" si="19"/>
        <v>0</v>
      </c>
      <c r="CB35">
        <f t="shared" si="20"/>
        <v>1.5</v>
      </c>
      <c r="CC35">
        <f t="shared" si="21"/>
        <v>0</v>
      </c>
      <c r="CD35">
        <f t="shared" si="22"/>
        <v>0</v>
      </c>
      <c r="CE35">
        <f t="shared" si="23"/>
        <v>0</v>
      </c>
      <c r="CF35">
        <f t="shared" si="24"/>
        <v>0</v>
      </c>
      <c r="CG35">
        <f t="shared" si="25"/>
        <v>0</v>
      </c>
      <c r="CH35">
        <f t="shared" si="26"/>
        <v>0</v>
      </c>
      <c r="CI35">
        <f t="shared" si="27"/>
        <v>0</v>
      </c>
      <c r="CJ35">
        <f t="shared" si="28"/>
        <v>0</v>
      </c>
      <c r="CK35">
        <f t="shared" si="29"/>
        <v>0</v>
      </c>
      <c r="CL35">
        <f t="shared" si="30"/>
        <v>0</v>
      </c>
      <c r="CM35">
        <f t="shared" si="31"/>
        <v>0</v>
      </c>
      <c r="CN35">
        <f t="shared" si="32"/>
        <v>0</v>
      </c>
      <c r="CO35">
        <f t="shared" si="33"/>
        <v>0</v>
      </c>
      <c r="CP35">
        <f t="shared" si="34"/>
        <v>0</v>
      </c>
      <c r="CQ35">
        <f t="shared" si="35"/>
        <v>0</v>
      </c>
      <c r="CR35">
        <f t="shared" si="36"/>
        <v>0</v>
      </c>
      <c r="CS35">
        <f t="shared" si="37"/>
        <v>0</v>
      </c>
      <c r="CT35">
        <f t="shared" si="38"/>
        <v>0</v>
      </c>
      <c r="CU35">
        <f t="shared" si="39"/>
        <v>3</v>
      </c>
      <c r="CV35">
        <f t="shared" si="40"/>
        <v>0</v>
      </c>
      <c r="CW35">
        <f t="shared" si="41"/>
        <v>0</v>
      </c>
      <c r="CX35">
        <f t="shared" si="42"/>
        <v>3</v>
      </c>
      <c r="CY35">
        <f t="shared" si="43"/>
        <v>0</v>
      </c>
      <c r="CZ35">
        <f t="shared" si="44"/>
        <v>0</v>
      </c>
      <c r="DA35">
        <f t="shared" si="45"/>
        <v>0</v>
      </c>
      <c r="DB35">
        <f t="shared" si="46"/>
        <v>0</v>
      </c>
      <c r="DC35">
        <f t="shared" si="47"/>
        <v>0</v>
      </c>
      <c r="DD35">
        <f t="shared" si="48"/>
        <v>10</v>
      </c>
      <c r="DE35">
        <f t="shared" si="49"/>
        <v>0</v>
      </c>
      <c r="DF35">
        <f t="shared" si="50"/>
        <v>0</v>
      </c>
      <c r="DG35">
        <f t="shared" si="51"/>
        <v>0</v>
      </c>
      <c r="DH35">
        <f t="shared" si="52"/>
        <v>0</v>
      </c>
      <c r="DI35">
        <f t="shared" si="53"/>
        <v>0</v>
      </c>
      <c r="DJ35">
        <f t="shared" si="54"/>
        <v>0</v>
      </c>
      <c r="DK35">
        <f t="shared" si="55"/>
        <v>3</v>
      </c>
      <c r="DL35">
        <f t="shared" si="56"/>
        <v>0</v>
      </c>
      <c r="DM35">
        <f t="shared" si="57"/>
        <v>3</v>
      </c>
      <c r="DO35">
        <f t="shared" si="58"/>
        <v>68.5</v>
      </c>
    </row>
    <row r="36" spans="1:119" x14ac:dyDescent="0.35">
      <c r="A36" t="s">
        <v>47</v>
      </c>
      <c r="B36">
        <v>35</v>
      </c>
      <c r="C36" s="10">
        <v>1.5</v>
      </c>
      <c r="D36">
        <v>1.5</v>
      </c>
      <c r="E36">
        <v>0</v>
      </c>
      <c r="F36">
        <v>1.5</v>
      </c>
      <c r="G36">
        <v>1.5</v>
      </c>
      <c r="H36">
        <v>0</v>
      </c>
      <c r="I36">
        <v>1.5</v>
      </c>
      <c r="J36">
        <v>1.5</v>
      </c>
      <c r="K36">
        <v>10</v>
      </c>
      <c r="L36">
        <v>10</v>
      </c>
      <c r="M36">
        <v>1.5</v>
      </c>
      <c r="N36">
        <v>1.5</v>
      </c>
      <c r="O36">
        <v>3</v>
      </c>
      <c r="P36">
        <v>1.5</v>
      </c>
      <c r="Q36">
        <v>3</v>
      </c>
      <c r="R36">
        <v>1.5</v>
      </c>
      <c r="S36">
        <v>3</v>
      </c>
      <c r="T36">
        <v>0</v>
      </c>
      <c r="U36">
        <v>3</v>
      </c>
      <c r="V36">
        <v>1.5</v>
      </c>
      <c r="W36">
        <v>10</v>
      </c>
      <c r="X36">
        <v>1.5</v>
      </c>
      <c r="Y36">
        <v>10</v>
      </c>
      <c r="Z36">
        <v>1.5</v>
      </c>
      <c r="AA36">
        <v>10</v>
      </c>
      <c r="AB36">
        <v>3</v>
      </c>
      <c r="AC36">
        <v>10</v>
      </c>
      <c r="AD36">
        <v>3</v>
      </c>
      <c r="AE36">
        <v>3</v>
      </c>
      <c r="AF36">
        <v>10</v>
      </c>
      <c r="AG36">
        <v>3</v>
      </c>
      <c r="AH36">
        <v>0</v>
      </c>
      <c r="AI36">
        <v>0</v>
      </c>
      <c r="AJ36">
        <v>3</v>
      </c>
      <c r="AK36">
        <v>10</v>
      </c>
      <c r="AL36">
        <v>1.5</v>
      </c>
      <c r="AM36">
        <v>1.5</v>
      </c>
      <c r="AN36">
        <v>4.5</v>
      </c>
      <c r="AO36">
        <v>1.5</v>
      </c>
      <c r="AP36">
        <v>1.5</v>
      </c>
      <c r="AQ36">
        <v>3</v>
      </c>
      <c r="AR36">
        <v>1.5</v>
      </c>
      <c r="AS36">
        <v>1.5</v>
      </c>
      <c r="AT36">
        <v>3</v>
      </c>
      <c r="AU36">
        <v>10</v>
      </c>
      <c r="AV36">
        <v>10</v>
      </c>
      <c r="AW36">
        <v>10</v>
      </c>
      <c r="AX36">
        <v>3</v>
      </c>
      <c r="AY36">
        <v>1.5</v>
      </c>
      <c r="AZ36">
        <v>1.5</v>
      </c>
      <c r="BA36">
        <v>3</v>
      </c>
      <c r="BB36">
        <v>3</v>
      </c>
      <c r="BC36">
        <v>0</v>
      </c>
      <c r="BD36">
        <v>0</v>
      </c>
      <c r="BE36">
        <v>0</v>
      </c>
      <c r="BF36">
        <v>10</v>
      </c>
      <c r="BG36">
        <v>3</v>
      </c>
      <c r="BI36">
        <f t="shared" si="1"/>
        <v>1.5</v>
      </c>
      <c r="BJ36">
        <f t="shared" si="2"/>
        <v>0</v>
      </c>
      <c r="BK36">
        <f t="shared" si="3"/>
        <v>0</v>
      </c>
      <c r="BL36">
        <f t="shared" si="4"/>
        <v>1.5</v>
      </c>
      <c r="BM36">
        <f t="shared" si="5"/>
        <v>0</v>
      </c>
      <c r="BN36">
        <f t="shared" si="6"/>
        <v>0</v>
      </c>
      <c r="BO36">
        <f t="shared" si="7"/>
        <v>1.5</v>
      </c>
      <c r="BP36">
        <f t="shared" si="8"/>
        <v>1.5</v>
      </c>
      <c r="BQ36">
        <f t="shared" si="9"/>
        <v>10</v>
      </c>
      <c r="BR36">
        <f t="shared" si="10"/>
        <v>0</v>
      </c>
      <c r="BS36">
        <f t="shared" si="11"/>
        <v>0</v>
      </c>
      <c r="BT36">
        <f t="shared" si="12"/>
        <v>0</v>
      </c>
      <c r="BU36">
        <f t="shared" si="13"/>
        <v>0</v>
      </c>
      <c r="BV36">
        <f t="shared" si="14"/>
        <v>1.5</v>
      </c>
      <c r="BW36">
        <f t="shared" si="15"/>
        <v>3</v>
      </c>
      <c r="BX36">
        <f t="shared" si="16"/>
        <v>0</v>
      </c>
      <c r="BY36">
        <f t="shared" si="17"/>
        <v>3</v>
      </c>
      <c r="BZ36">
        <f t="shared" si="18"/>
        <v>0</v>
      </c>
      <c r="CA36">
        <f t="shared" si="19"/>
        <v>0</v>
      </c>
      <c r="CB36">
        <f t="shared" si="20"/>
        <v>1.5</v>
      </c>
      <c r="CC36">
        <f t="shared" si="21"/>
        <v>0</v>
      </c>
      <c r="CD36">
        <f t="shared" si="22"/>
        <v>0</v>
      </c>
      <c r="CE36">
        <f t="shared" si="23"/>
        <v>0</v>
      </c>
      <c r="CF36">
        <f t="shared" si="24"/>
        <v>0</v>
      </c>
      <c r="CG36">
        <f t="shared" si="25"/>
        <v>0</v>
      </c>
      <c r="CH36">
        <f t="shared" si="26"/>
        <v>0</v>
      </c>
      <c r="CI36">
        <f t="shared" si="27"/>
        <v>0</v>
      </c>
      <c r="CJ36">
        <f t="shared" si="28"/>
        <v>0</v>
      </c>
      <c r="CK36">
        <f t="shared" si="29"/>
        <v>0</v>
      </c>
      <c r="CL36">
        <f t="shared" si="30"/>
        <v>0</v>
      </c>
      <c r="CM36">
        <f t="shared" si="31"/>
        <v>0</v>
      </c>
      <c r="CN36">
        <f t="shared" si="32"/>
        <v>0</v>
      </c>
      <c r="CO36">
        <f t="shared" si="33"/>
        <v>0</v>
      </c>
      <c r="CP36">
        <f t="shared" si="34"/>
        <v>0</v>
      </c>
      <c r="CQ36">
        <f t="shared" si="35"/>
        <v>0</v>
      </c>
      <c r="CR36">
        <f t="shared" si="36"/>
        <v>0</v>
      </c>
      <c r="CS36">
        <f t="shared" si="37"/>
        <v>0</v>
      </c>
      <c r="CT36">
        <f t="shared" si="38"/>
        <v>0</v>
      </c>
      <c r="CU36">
        <f t="shared" si="39"/>
        <v>1.5</v>
      </c>
      <c r="CV36">
        <f t="shared" si="40"/>
        <v>0</v>
      </c>
      <c r="CW36">
        <f t="shared" si="41"/>
        <v>0</v>
      </c>
      <c r="CX36">
        <f t="shared" si="42"/>
        <v>1.5</v>
      </c>
      <c r="CY36">
        <f t="shared" si="43"/>
        <v>0</v>
      </c>
      <c r="CZ36">
        <f t="shared" si="44"/>
        <v>0</v>
      </c>
      <c r="DA36">
        <f t="shared" si="45"/>
        <v>0</v>
      </c>
      <c r="DB36">
        <f t="shared" si="46"/>
        <v>0</v>
      </c>
      <c r="DC36">
        <f t="shared" si="47"/>
        <v>0</v>
      </c>
      <c r="DD36">
        <f t="shared" si="48"/>
        <v>3</v>
      </c>
      <c r="DE36">
        <f t="shared" si="49"/>
        <v>0</v>
      </c>
      <c r="DF36">
        <f t="shared" si="50"/>
        <v>0</v>
      </c>
      <c r="DG36">
        <f t="shared" si="51"/>
        <v>3</v>
      </c>
      <c r="DH36">
        <f t="shared" si="52"/>
        <v>0</v>
      </c>
      <c r="DI36">
        <f t="shared" si="53"/>
        <v>0</v>
      </c>
      <c r="DJ36">
        <f t="shared" si="54"/>
        <v>0</v>
      </c>
      <c r="DK36">
        <f t="shared" si="55"/>
        <v>0</v>
      </c>
      <c r="DL36">
        <f t="shared" si="56"/>
        <v>0</v>
      </c>
      <c r="DM36">
        <f t="shared" si="57"/>
        <v>3</v>
      </c>
      <c r="DO36">
        <f t="shared" si="58"/>
        <v>37</v>
      </c>
    </row>
    <row r="37" spans="1:119" x14ac:dyDescent="0.35">
      <c r="A37" t="s">
        <v>67</v>
      </c>
      <c r="B37">
        <v>36</v>
      </c>
      <c r="C37" s="10">
        <v>1.5</v>
      </c>
      <c r="D37">
        <v>10</v>
      </c>
      <c r="E37">
        <v>3</v>
      </c>
      <c r="F37">
        <v>3</v>
      </c>
      <c r="G37">
        <v>0</v>
      </c>
      <c r="H37">
        <v>10</v>
      </c>
      <c r="I37">
        <v>3</v>
      </c>
      <c r="J37">
        <v>1.5</v>
      </c>
      <c r="K37">
        <v>10</v>
      </c>
      <c r="L37">
        <v>3</v>
      </c>
      <c r="M37">
        <v>1.5</v>
      </c>
      <c r="N37">
        <v>0</v>
      </c>
      <c r="O37">
        <v>1.5</v>
      </c>
      <c r="P37">
        <v>3</v>
      </c>
      <c r="Q37">
        <v>10</v>
      </c>
      <c r="R37">
        <v>3</v>
      </c>
      <c r="S37">
        <v>4.5</v>
      </c>
      <c r="T37">
        <v>1.5</v>
      </c>
      <c r="U37">
        <v>1.5</v>
      </c>
      <c r="V37">
        <v>1.5</v>
      </c>
      <c r="W37">
        <v>4.5</v>
      </c>
      <c r="X37">
        <v>10</v>
      </c>
      <c r="Y37">
        <v>0</v>
      </c>
      <c r="Z37">
        <v>6</v>
      </c>
      <c r="AA37">
        <v>1.5</v>
      </c>
      <c r="AB37">
        <v>10</v>
      </c>
      <c r="AC37">
        <v>0</v>
      </c>
      <c r="AD37">
        <v>0</v>
      </c>
      <c r="AE37">
        <v>4.5</v>
      </c>
      <c r="AF37">
        <v>1.5</v>
      </c>
      <c r="AG37">
        <v>6</v>
      </c>
      <c r="AH37">
        <v>10</v>
      </c>
      <c r="AI37">
        <v>0</v>
      </c>
      <c r="AJ37">
        <v>10</v>
      </c>
      <c r="AK37">
        <v>1.5</v>
      </c>
      <c r="AL37">
        <v>10</v>
      </c>
      <c r="AM37">
        <v>10</v>
      </c>
      <c r="AN37">
        <v>0</v>
      </c>
      <c r="AO37">
        <v>3</v>
      </c>
      <c r="AP37">
        <v>1.5</v>
      </c>
      <c r="AQ37">
        <v>10</v>
      </c>
      <c r="AR37">
        <v>1.5</v>
      </c>
      <c r="AS37">
        <v>3</v>
      </c>
      <c r="AT37">
        <v>0</v>
      </c>
      <c r="AU37">
        <v>0</v>
      </c>
      <c r="AV37">
        <v>3</v>
      </c>
      <c r="AW37">
        <v>3</v>
      </c>
      <c r="AX37">
        <v>6</v>
      </c>
      <c r="AY37">
        <v>1.5</v>
      </c>
      <c r="AZ37">
        <v>3</v>
      </c>
      <c r="BA37">
        <v>0</v>
      </c>
      <c r="BB37">
        <v>10</v>
      </c>
      <c r="BC37">
        <v>3</v>
      </c>
      <c r="BD37">
        <v>1.5</v>
      </c>
      <c r="BE37">
        <v>3</v>
      </c>
      <c r="BF37">
        <v>0</v>
      </c>
      <c r="BG37">
        <v>1.5</v>
      </c>
      <c r="BI37">
        <f t="shared" si="1"/>
        <v>1.5</v>
      </c>
      <c r="BJ37">
        <f t="shared" si="2"/>
        <v>0</v>
      </c>
      <c r="BK37">
        <f t="shared" si="3"/>
        <v>0</v>
      </c>
      <c r="BL37">
        <f t="shared" si="4"/>
        <v>3</v>
      </c>
      <c r="BM37">
        <f t="shared" si="5"/>
        <v>0</v>
      </c>
      <c r="BN37">
        <f t="shared" si="6"/>
        <v>0</v>
      </c>
      <c r="BO37">
        <f t="shared" si="7"/>
        <v>3</v>
      </c>
      <c r="BP37">
        <f t="shared" si="8"/>
        <v>1.5</v>
      </c>
      <c r="BQ37">
        <f t="shared" si="9"/>
        <v>10</v>
      </c>
      <c r="BR37">
        <f t="shared" si="10"/>
        <v>0</v>
      </c>
      <c r="BS37">
        <f t="shared" si="11"/>
        <v>0</v>
      </c>
      <c r="BT37">
        <f t="shared" si="12"/>
        <v>0</v>
      </c>
      <c r="BU37">
        <f t="shared" si="13"/>
        <v>0</v>
      </c>
      <c r="BV37">
        <f t="shared" si="14"/>
        <v>3</v>
      </c>
      <c r="BW37">
        <f t="shared" si="15"/>
        <v>10</v>
      </c>
      <c r="BX37">
        <f t="shared" si="16"/>
        <v>0</v>
      </c>
      <c r="BY37">
        <f t="shared" si="17"/>
        <v>4.5</v>
      </c>
      <c r="BZ37">
        <f t="shared" si="18"/>
        <v>1.5</v>
      </c>
      <c r="CA37">
        <f t="shared" si="19"/>
        <v>0</v>
      </c>
      <c r="CB37">
        <f t="shared" si="20"/>
        <v>1.5</v>
      </c>
      <c r="CC37">
        <f t="shared" si="21"/>
        <v>0</v>
      </c>
      <c r="CD37">
        <f t="shared" si="22"/>
        <v>0</v>
      </c>
      <c r="CE37">
        <f t="shared" si="23"/>
        <v>0</v>
      </c>
      <c r="CF37">
        <f t="shared" si="24"/>
        <v>0</v>
      </c>
      <c r="CG37">
        <f t="shared" si="25"/>
        <v>0</v>
      </c>
      <c r="CH37">
        <f t="shared" si="26"/>
        <v>0</v>
      </c>
      <c r="CI37">
        <f t="shared" si="27"/>
        <v>0</v>
      </c>
      <c r="CJ37">
        <f t="shared" si="28"/>
        <v>0</v>
      </c>
      <c r="CK37">
        <f t="shared" si="29"/>
        <v>0</v>
      </c>
      <c r="CL37">
        <f t="shared" si="30"/>
        <v>0</v>
      </c>
      <c r="CM37">
        <f t="shared" si="31"/>
        <v>0</v>
      </c>
      <c r="CN37">
        <f t="shared" si="32"/>
        <v>0</v>
      </c>
      <c r="CO37">
        <f t="shared" si="33"/>
        <v>0</v>
      </c>
      <c r="CP37">
        <f t="shared" si="34"/>
        <v>0</v>
      </c>
      <c r="CQ37">
        <f t="shared" si="35"/>
        <v>0</v>
      </c>
      <c r="CR37">
        <f t="shared" si="36"/>
        <v>0</v>
      </c>
      <c r="CS37">
        <f t="shared" si="37"/>
        <v>0</v>
      </c>
      <c r="CT37">
        <f t="shared" si="38"/>
        <v>0</v>
      </c>
      <c r="CU37">
        <f t="shared" si="39"/>
        <v>3</v>
      </c>
      <c r="CV37">
        <f t="shared" si="40"/>
        <v>0</v>
      </c>
      <c r="CW37">
        <f t="shared" si="41"/>
        <v>0</v>
      </c>
      <c r="CX37">
        <f t="shared" si="42"/>
        <v>1.5</v>
      </c>
      <c r="CY37">
        <f t="shared" si="43"/>
        <v>0</v>
      </c>
      <c r="CZ37">
        <f t="shared" si="44"/>
        <v>0</v>
      </c>
      <c r="DA37">
        <f t="shared" si="45"/>
        <v>0</v>
      </c>
      <c r="DB37">
        <f t="shared" si="46"/>
        <v>0</v>
      </c>
      <c r="DC37">
        <f t="shared" si="47"/>
        <v>0</v>
      </c>
      <c r="DD37">
        <f t="shared" si="48"/>
        <v>6</v>
      </c>
      <c r="DE37">
        <f t="shared" si="49"/>
        <v>0</v>
      </c>
      <c r="DF37">
        <f t="shared" si="50"/>
        <v>0</v>
      </c>
      <c r="DG37">
        <f t="shared" si="51"/>
        <v>0</v>
      </c>
      <c r="DH37">
        <f t="shared" si="52"/>
        <v>0</v>
      </c>
      <c r="DI37">
        <f t="shared" si="53"/>
        <v>0</v>
      </c>
      <c r="DJ37">
        <f t="shared" si="54"/>
        <v>0</v>
      </c>
      <c r="DK37">
        <f t="shared" si="55"/>
        <v>3</v>
      </c>
      <c r="DL37">
        <f t="shared" si="56"/>
        <v>0</v>
      </c>
      <c r="DM37">
        <f t="shared" si="57"/>
        <v>1.5</v>
      </c>
      <c r="DO37">
        <f t="shared" si="58"/>
        <v>54.5</v>
      </c>
    </row>
    <row r="38" spans="1:119" x14ac:dyDescent="0.35">
      <c r="A38" t="s">
        <v>71</v>
      </c>
      <c r="B38">
        <v>37</v>
      </c>
      <c r="C38" s="10">
        <v>1.5</v>
      </c>
      <c r="D38">
        <v>10</v>
      </c>
      <c r="E38">
        <v>3</v>
      </c>
      <c r="F38">
        <v>4.5</v>
      </c>
      <c r="G38">
        <v>0</v>
      </c>
      <c r="H38">
        <v>3</v>
      </c>
      <c r="I38">
        <v>1.5</v>
      </c>
      <c r="J38">
        <v>1.5</v>
      </c>
      <c r="K38">
        <v>10</v>
      </c>
      <c r="L38">
        <v>3</v>
      </c>
      <c r="M38">
        <v>1.5</v>
      </c>
      <c r="N38">
        <v>0</v>
      </c>
      <c r="O38">
        <v>0</v>
      </c>
      <c r="P38">
        <v>10</v>
      </c>
      <c r="Q38">
        <v>10</v>
      </c>
      <c r="R38">
        <v>10</v>
      </c>
      <c r="S38">
        <v>3</v>
      </c>
      <c r="T38">
        <v>1.5</v>
      </c>
      <c r="U38">
        <v>3</v>
      </c>
      <c r="V38">
        <v>1.5</v>
      </c>
      <c r="W38">
        <v>3</v>
      </c>
      <c r="X38">
        <v>3</v>
      </c>
      <c r="Y38">
        <v>0</v>
      </c>
      <c r="Z38">
        <v>4.5</v>
      </c>
      <c r="AA38">
        <v>1.5</v>
      </c>
      <c r="AB38">
        <v>10</v>
      </c>
      <c r="AC38">
        <v>0</v>
      </c>
      <c r="AD38">
        <v>0</v>
      </c>
      <c r="AE38">
        <v>3</v>
      </c>
      <c r="AF38">
        <v>1.5</v>
      </c>
      <c r="AG38">
        <v>4.5</v>
      </c>
      <c r="AH38">
        <v>3</v>
      </c>
      <c r="AI38">
        <v>0</v>
      </c>
      <c r="AJ38">
        <v>10</v>
      </c>
      <c r="AK38">
        <v>1.5</v>
      </c>
      <c r="AL38">
        <v>10</v>
      </c>
      <c r="AM38">
        <v>10</v>
      </c>
      <c r="AN38">
        <v>0</v>
      </c>
      <c r="AO38">
        <v>3</v>
      </c>
      <c r="AP38">
        <v>1.5</v>
      </c>
      <c r="AQ38">
        <v>10</v>
      </c>
      <c r="AR38">
        <v>3</v>
      </c>
      <c r="AS38">
        <v>10</v>
      </c>
      <c r="AT38">
        <v>1.5</v>
      </c>
      <c r="AU38">
        <v>1.5</v>
      </c>
      <c r="AV38">
        <v>1.5</v>
      </c>
      <c r="AW38">
        <v>3</v>
      </c>
      <c r="AX38">
        <v>6</v>
      </c>
      <c r="AY38">
        <v>1.5</v>
      </c>
      <c r="AZ38">
        <v>1.5</v>
      </c>
      <c r="BA38">
        <v>0</v>
      </c>
      <c r="BB38">
        <v>4.5</v>
      </c>
      <c r="BC38">
        <v>10</v>
      </c>
      <c r="BD38">
        <v>1.5</v>
      </c>
      <c r="BE38">
        <v>3</v>
      </c>
      <c r="BF38">
        <v>0</v>
      </c>
      <c r="BG38">
        <v>3</v>
      </c>
      <c r="BI38">
        <f t="shared" si="1"/>
        <v>1.5</v>
      </c>
      <c r="BJ38">
        <f t="shared" si="2"/>
        <v>0</v>
      </c>
      <c r="BK38">
        <f t="shared" si="3"/>
        <v>0</v>
      </c>
      <c r="BL38">
        <f t="shared" si="4"/>
        <v>4.5</v>
      </c>
      <c r="BM38">
        <f t="shared" si="5"/>
        <v>0</v>
      </c>
      <c r="BN38">
        <f t="shared" si="6"/>
        <v>0</v>
      </c>
      <c r="BO38">
        <f t="shared" si="7"/>
        <v>1.5</v>
      </c>
      <c r="BP38">
        <f t="shared" si="8"/>
        <v>1.5</v>
      </c>
      <c r="BQ38">
        <f t="shared" si="9"/>
        <v>10</v>
      </c>
      <c r="BR38">
        <f t="shared" si="10"/>
        <v>0</v>
      </c>
      <c r="BS38">
        <f t="shared" si="11"/>
        <v>0</v>
      </c>
      <c r="BT38">
        <f t="shared" si="12"/>
        <v>0</v>
      </c>
      <c r="BU38">
        <f t="shared" si="13"/>
        <v>0</v>
      </c>
      <c r="BV38">
        <f t="shared" si="14"/>
        <v>10</v>
      </c>
      <c r="BW38">
        <f t="shared" si="15"/>
        <v>10</v>
      </c>
      <c r="BX38">
        <f t="shared" si="16"/>
        <v>0</v>
      </c>
      <c r="BY38">
        <f t="shared" si="17"/>
        <v>3</v>
      </c>
      <c r="BZ38">
        <f t="shared" si="18"/>
        <v>1.5</v>
      </c>
      <c r="CA38">
        <f t="shared" si="19"/>
        <v>0</v>
      </c>
      <c r="CB38">
        <f t="shared" si="20"/>
        <v>1.5</v>
      </c>
      <c r="CC38">
        <f t="shared" si="21"/>
        <v>0</v>
      </c>
      <c r="CD38">
        <f t="shared" si="22"/>
        <v>0</v>
      </c>
      <c r="CE38">
        <f t="shared" si="23"/>
        <v>0</v>
      </c>
      <c r="CF38">
        <f t="shared" si="24"/>
        <v>0</v>
      </c>
      <c r="CG38">
        <f t="shared" si="25"/>
        <v>0</v>
      </c>
      <c r="CH38">
        <f t="shared" si="26"/>
        <v>0</v>
      </c>
      <c r="CI38">
        <f t="shared" si="27"/>
        <v>0</v>
      </c>
      <c r="CJ38">
        <f t="shared" si="28"/>
        <v>0</v>
      </c>
      <c r="CK38">
        <f t="shared" si="29"/>
        <v>0</v>
      </c>
      <c r="CL38">
        <f t="shared" si="30"/>
        <v>0</v>
      </c>
      <c r="CM38">
        <f t="shared" si="31"/>
        <v>0</v>
      </c>
      <c r="CN38">
        <f t="shared" si="32"/>
        <v>0</v>
      </c>
      <c r="CO38">
        <f t="shared" si="33"/>
        <v>0</v>
      </c>
      <c r="CP38">
        <f t="shared" si="34"/>
        <v>0</v>
      </c>
      <c r="CQ38">
        <f t="shared" si="35"/>
        <v>0</v>
      </c>
      <c r="CR38">
        <f t="shared" si="36"/>
        <v>0</v>
      </c>
      <c r="CS38">
        <f t="shared" si="37"/>
        <v>0</v>
      </c>
      <c r="CT38">
        <f t="shared" si="38"/>
        <v>0</v>
      </c>
      <c r="CU38">
        <f t="shared" si="39"/>
        <v>3</v>
      </c>
      <c r="CV38">
        <f t="shared" si="40"/>
        <v>0</v>
      </c>
      <c r="CW38">
        <f t="shared" si="41"/>
        <v>0</v>
      </c>
      <c r="CX38">
        <f t="shared" si="42"/>
        <v>3</v>
      </c>
      <c r="CY38">
        <f t="shared" si="43"/>
        <v>0</v>
      </c>
      <c r="CZ38">
        <f t="shared" si="44"/>
        <v>0</v>
      </c>
      <c r="DA38">
        <f t="shared" si="45"/>
        <v>0</v>
      </c>
      <c r="DB38">
        <f t="shared" si="46"/>
        <v>0</v>
      </c>
      <c r="DC38">
        <f t="shared" si="47"/>
        <v>0</v>
      </c>
      <c r="DD38">
        <f t="shared" si="48"/>
        <v>6</v>
      </c>
      <c r="DE38">
        <f t="shared" si="49"/>
        <v>0</v>
      </c>
      <c r="DF38">
        <f t="shared" si="50"/>
        <v>0</v>
      </c>
      <c r="DG38">
        <f t="shared" si="51"/>
        <v>0</v>
      </c>
      <c r="DH38">
        <f t="shared" si="52"/>
        <v>0</v>
      </c>
      <c r="DI38">
        <f t="shared" si="53"/>
        <v>0</v>
      </c>
      <c r="DJ38">
        <f t="shared" si="54"/>
        <v>0</v>
      </c>
      <c r="DK38">
        <f t="shared" si="55"/>
        <v>3</v>
      </c>
      <c r="DL38">
        <f t="shared" si="56"/>
        <v>0</v>
      </c>
      <c r="DM38">
        <f t="shared" si="57"/>
        <v>3</v>
      </c>
      <c r="DO38">
        <f t="shared" si="58"/>
        <v>63</v>
      </c>
    </row>
    <row r="39" spans="1:119" x14ac:dyDescent="0.35">
      <c r="A39" t="s">
        <v>48</v>
      </c>
      <c r="B39">
        <v>38</v>
      </c>
      <c r="C39" s="10">
        <v>10</v>
      </c>
      <c r="D39">
        <v>1.5</v>
      </c>
      <c r="E39">
        <v>3</v>
      </c>
      <c r="F39">
        <v>1.5</v>
      </c>
      <c r="G39">
        <v>1.5</v>
      </c>
      <c r="H39">
        <v>1.5</v>
      </c>
      <c r="I39">
        <v>4.5</v>
      </c>
      <c r="J39">
        <v>1.5</v>
      </c>
      <c r="K39">
        <v>3</v>
      </c>
      <c r="L39">
        <v>3</v>
      </c>
      <c r="M39">
        <v>1.5</v>
      </c>
      <c r="N39">
        <v>1.5</v>
      </c>
      <c r="O39">
        <v>10</v>
      </c>
      <c r="P39">
        <v>0</v>
      </c>
      <c r="Q39">
        <v>4.5</v>
      </c>
      <c r="R39">
        <v>1.5</v>
      </c>
      <c r="S39">
        <v>10</v>
      </c>
      <c r="T39">
        <v>3</v>
      </c>
      <c r="U39">
        <v>1.5</v>
      </c>
      <c r="V39">
        <v>10</v>
      </c>
      <c r="W39">
        <v>3</v>
      </c>
      <c r="X39">
        <v>0</v>
      </c>
      <c r="Y39">
        <v>10</v>
      </c>
      <c r="Z39">
        <v>3</v>
      </c>
      <c r="AA39">
        <v>10</v>
      </c>
      <c r="AB39">
        <v>0</v>
      </c>
      <c r="AC39">
        <v>3</v>
      </c>
      <c r="AD39">
        <v>10</v>
      </c>
      <c r="AE39">
        <v>1.5</v>
      </c>
      <c r="AF39">
        <v>10</v>
      </c>
      <c r="AG39">
        <v>1.5</v>
      </c>
      <c r="AH39">
        <v>0</v>
      </c>
      <c r="AI39">
        <v>1.5</v>
      </c>
      <c r="AJ39">
        <v>1.5</v>
      </c>
      <c r="AK39">
        <v>4.5</v>
      </c>
      <c r="AL39">
        <v>0</v>
      </c>
      <c r="AM39">
        <v>0</v>
      </c>
      <c r="AN39">
        <v>10</v>
      </c>
      <c r="AO39">
        <v>3</v>
      </c>
      <c r="AP39">
        <v>10</v>
      </c>
      <c r="AQ39">
        <v>0</v>
      </c>
      <c r="AR39">
        <v>1.5</v>
      </c>
      <c r="AS39">
        <v>0</v>
      </c>
      <c r="AT39">
        <v>10</v>
      </c>
      <c r="AU39">
        <v>3</v>
      </c>
      <c r="AV39">
        <v>4.5</v>
      </c>
      <c r="AW39">
        <v>1.5</v>
      </c>
      <c r="AX39">
        <v>1.5</v>
      </c>
      <c r="AY39">
        <v>10</v>
      </c>
      <c r="AZ39">
        <v>3</v>
      </c>
      <c r="BA39">
        <v>10</v>
      </c>
      <c r="BB39">
        <v>3</v>
      </c>
      <c r="BC39">
        <v>1.5</v>
      </c>
      <c r="BD39">
        <v>1.5</v>
      </c>
      <c r="BE39">
        <v>4.5</v>
      </c>
      <c r="BF39">
        <v>3</v>
      </c>
      <c r="BG39">
        <v>1.5</v>
      </c>
      <c r="BI39">
        <f t="shared" si="1"/>
        <v>10</v>
      </c>
      <c r="BJ39">
        <f t="shared" si="2"/>
        <v>0</v>
      </c>
      <c r="BK39">
        <f t="shared" si="3"/>
        <v>0</v>
      </c>
      <c r="BL39">
        <f t="shared" si="4"/>
        <v>1.5</v>
      </c>
      <c r="BM39">
        <f t="shared" si="5"/>
        <v>0</v>
      </c>
      <c r="BN39">
        <f t="shared" si="6"/>
        <v>0</v>
      </c>
      <c r="BO39">
        <f t="shared" si="7"/>
        <v>4.5</v>
      </c>
      <c r="BP39">
        <f t="shared" si="8"/>
        <v>1.5</v>
      </c>
      <c r="BQ39">
        <f t="shared" si="9"/>
        <v>3</v>
      </c>
      <c r="BR39">
        <f t="shared" si="10"/>
        <v>0</v>
      </c>
      <c r="BS39">
        <f t="shared" si="11"/>
        <v>0</v>
      </c>
      <c r="BT39">
        <f t="shared" si="12"/>
        <v>0</v>
      </c>
      <c r="BU39">
        <f t="shared" si="13"/>
        <v>0</v>
      </c>
      <c r="BV39">
        <f t="shared" si="14"/>
        <v>0</v>
      </c>
      <c r="BW39">
        <f t="shared" si="15"/>
        <v>4.5</v>
      </c>
      <c r="BX39">
        <f t="shared" si="16"/>
        <v>0</v>
      </c>
      <c r="BY39">
        <f t="shared" si="17"/>
        <v>10</v>
      </c>
      <c r="BZ39">
        <f t="shared" si="18"/>
        <v>3</v>
      </c>
      <c r="CA39">
        <f t="shared" si="19"/>
        <v>0</v>
      </c>
      <c r="CB39">
        <f t="shared" si="20"/>
        <v>10</v>
      </c>
      <c r="CC39">
        <f t="shared" si="21"/>
        <v>0</v>
      </c>
      <c r="CD39">
        <f t="shared" si="22"/>
        <v>0</v>
      </c>
      <c r="CE39">
        <f t="shared" si="23"/>
        <v>0</v>
      </c>
      <c r="CF39">
        <f t="shared" si="24"/>
        <v>0</v>
      </c>
      <c r="CG39">
        <f t="shared" si="25"/>
        <v>0</v>
      </c>
      <c r="CH39">
        <f t="shared" si="26"/>
        <v>0</v>
      </c>
      <c r="CI39">
        <f t="shared" si="27"/>
        <v>0</v>
      </c>
      <c r="CJ39">
        <f t="shared" si="28"/>
        <v>0</v>
      </c>
      <c r="CK39">
        <f t="shared" si="29"/>
        <v>0</v>
      </c>
      <c r="CL39">
        <f t="shared" si="30"/>
        <v>0</v>
      </c>
      <c r="CM39">
        <f t="shared" si="31"/>
        <v>0</v>
      </c>
      <c r="CN39">
        <f t="shared" si="32"/>
        <v>0</v>
      </c>
      <c r="CO39">
        <f t="shared" si="33"/>
        <v>0</v>
      </c>
      <c r="CP39">
        <f t="shared" si="34"/>
        <v>0</v>
      </c>
      <c r="CQ39">
        <f t="shared" si="35"/>
        <v>0</v>
      </c>
      <c r="CR39">
        <f t="shared" si="36"/>
        <v>0</v>
      </c>
      <c r="CS39">
        <f t="shared" si="37"/>
        <v>0</v>
      </c>
      <c r="CT39">
        <f t="shared" si="38"/>
        <v>0</v>
      </c>
      <c r="CU39">
        <f t="shared" si="39"/>
        <v>3</v>
      </c>
      <c r="CV39">
        <f t="shared" si="40"/>
        <v>0</v>
      </c>
      <c r="CW39">
        <f t="shared" si="41"/>
        <v>0</v>
      </c>
      <c r="CX39">
        <f t="shared" si="42"/>
        <v>1.5</v>
      </c>
      <c r="CY39">
        <f t="shared" si="43"/>
        <v>0</v>
      </c>
      <c r="CZ39">
        <f t="shared" si="44"/>
        <v>0</v>
      </c>
      <c r="DA39">
        <f t="shared" si="45"/>
        <v>0</v>
      </c>
      <c r="DB39">
        <f t="shared" si="46"/>
        <v>0</v>
      </c>
      <c r="DC39">
        <f t="shared" si="47"/>
        <v>0</v>
      </c>
      <c r="DD39">
        <f t="shared" si="48"/>
        <v>1.5</v>
      </c>
      <c r="DE39">
        <f t="shared" si="49"/>
        <v>0</v>
      </c>
      <c r="DF39">
        <f t="shared" si="50"/>
        <v>0</v>
      </c>
      <c r="DG39">
        <f t="shared" si="51"/>
        <v>10</v>
      </c>
      <c r="DH39">
        <f t="shared" si="52"/>
        <v>0</v>
      </c>
      <c r="DI39">
        <f t="shared" si="53"/>
        <v>0</v>
      </c>
      <c r="DJ39">
        <f t="shared" si="54"/>
        <v>0</v>
      </c>
      <c r="DK39">
        <f t="shared" si="55"/>
        <v>4.5</v>
      </c>
      <c r="DL39">
        <f t="shared" si="56"/>
        <v>0</v>
      </c>
      <c r="DM39">
        <f t="shared" si="57"/>
        <v>1.5</v>
      </c>
      <c r="DO39">
        <f t="shared" si="58"/>
        <v>70</v>
      </c>
    </row>
    <row r="40" spans="1:119" x14ac:dyDescent="0.35">
      <c r="A40" t="s">
        <v>49</v>
      </c>
      <c r="B40">
        <v>39</v>
      </c>
      <c r="C40" s="10">
        <v>10</v>
      </c>
      <c r="D40">
        <v>1.5</v>
      </c>
      <c r="E40">
        <v>1.5</v>
      </c>
      <c r="F40">
        <v>0</v>
      </c>
      <c r="G40">
        <v>1.5</v>
      </c>
      <c r="H40">
        <v>3</v>
      </c>
      <c r="I40">
        <v>10</v>
      </c>
      <c r="J40">
        <v>1.5</v>
      </c>
      <c r="K40">
        <v>3</v>
      </c>
      <c r="L40">
        <v>10</v>
      </c>
      <c r="M40">
        <v>10</v>
      </c>
      <c r="N40">
        <v>0</v>
      </c>
      <c r="O40">
        <v>1.5</v>
      </c>
      <c r="P40">
        <v>1.5</v>
      </c>
      <c r="Q40">
        <v>10</v>
      </c>
      <c r="R40">
        <v>3</v>
      </c>
      <c r="S40">
        <v>3</v>
      </c>
      <c r="T40">
        <v>10</v>
      </c>
      <c r="U40">
        <v>10</v>
      </c>
      <c r="V40">
        <v>10</v>
      </c>
      <c r="W40">
        <v>3</v>
      </c>
      <c r="X40">
        <v>10</v>
      </c>
      <c r="Y40">
        <v>0</v>
      </c>
      <c r="Z40">
        <v>4.5</v>
      </c>
      <c r="AA40">
        <v>4.5</v>
      </c>
      <c r="AB40">
        <v>1.5</v>
      </c>
      <c r="AC40">
        <v>0</v>
      </c>
      <c r="AD40">
        <v>3</v>
      </c>
      <c r="AE40">
        <v>1.5</v>
      </c>
      <c r="AF40">
        <v>1.5</v>
      </c>
      <c r="AG40">
        <v>10</v>
      </c>
      <c r="AH40">
        <v>1.5</v>
      </c>
      <c r="AI40">
        <v>3</v>
      </c>
      <c r="AJ40">
        <v>3</v>
      </c>
      <c r="AK40">
        <v>1.5</v>
      </c>
      <c r="AL40">
        <v>3</v>
      </c>
      <c r="AM40">
        <v>3</v>
      </c>
      <c r="AN40">
        <v>3</v>
      </c>
      <c r="AO40">
        <v>10</v>
      </c>
      <c r="AP40">
        <v>3</v>
      </c>
      <c r="AQ40">
        <v>1.5</v>
      </c>
      <c r="AR40">
        <v>1.5</v>
      </c>
      <c r="AS40">
        <v>10</v>
      </c>
      <c r="AT40">
        <v>4.5</v>
      </c>
      <c r="AU40">
        <v>1.5</v>
      </c>
      <c r="AV40">
        <v>3</v>
      </c>
      <c r="AW40">
        <v>0</v>
      </c>
      <c r="AX40">
        <v>3</v>
      </c>
      <c r="AY40">
        <v>3</v>
      </c>
      <c r="AZ40">
        <v>1.5</v>
      </c>
      <c r="BA40">
        <v>3</v>
      </c>
      <c r="BB40">
        <v>6</v>
      </c>
      <c r="BC40">
        <v>3</v>
      </c>
      <c r="BD40">
        <v>1.5</v>
      </c>
      <c r="BE40">
        <v>10</v>
      </c>
      <c r="BF40">
        <v>0</v>
      </c>
      <c r="BG40">
        <v>0</v>
      </c>
      <c r="BI40">
        <f t="shared" si="1"/>
        <v>10</v>
      </c>
      <c r="BJ40">
        <f t="shared" si="2"/>
        <v>0</v>
      </c>
      <c r="BK40">
        <f t="shared" si="3"/>
        <v>0</v>
      </c>
      <c r="BL40">
        <f t="shared" si="4"/>
        <v>0</v>
      </c>
      <c r="BM40">
        <f t="shared" si="5"/>
        <v>0</v>
      </c>
      <c r="BN40">
        <f t="shared" si="6"/>
        <v>0</v>
      </c>
      <c r="BO40">
        <f t="shared" si="7"/>
        <v>10</v>
      </c>
      <c r="BP40">
        <f t="shared" si="8"/>
        <v>1.5</v>
      </c>
      <c r="BQ40">
        <f t="shared" si="9"/>
        <v>3</v>
      </c>
      <c r="BR40">
        <f t="shared" si="10"/>
        <v>0</v>
      </c>
      <c r="BS40">
        <f t="shared" si="11"/>
        <v>0</v>
      </c>
      <c r="BT40">
        <f t="shared" si="12"/>
        <v>0</v>
      </c>
      <c r="BU40">
        <f t="shared" si="13"/>
        <v>0</v>
      </c>
      <c r="BV40">
        <f t="shared" si="14"/>
        <v>1.5</v>
      </c>
      <c r="BW40">
        <f t="shared" si="15"/>
        <v>10</v>
      </c>
      <c r="BX40">
        <f t="shared" si="16"/>
        <v>0</v>
      </c>
      <c r="BY40">
        <f t="shared" si="17"/>
        <v>3</v>
      </c>
      <c r="BZ40">
        <f t="shared" si="18"/>
        <v>10</v>
      </c>
      <c r="CA40">
        <f t="shared" si="19"/>
        <v>0</v>
      </c>
      <c r="CB40">
        <f t="shared" si="20"/>
        <v>10</v>
      </c>
      <c r="CC40">
        <f t="shared" si="21"/>
        <v>0</v>
      </c>
      <c r="CD40">
        <f t="shared" si="22"/>
        <v>0</v>
      </c>
      <c r="CE40">
        <f t="shared" si="23"/>
        <v>0</v>
      </c>
      <c r="CF40">
        <f t="shared" si="24"/>
        <v>0</v>
      </c>
      <c r="CG40">
        <f t="shared" si="25"/>
        <v>0</v>
      </c>
      <c r="CH40">
        <f t="shared" si="26"/>
        <v>0</v>
      </c>
      <c r="CI40">
        <f t="shared" si="27"/>
        <v>0</v>
      </c>
      <c r="CJ40">
        <f t="shared" si="28"/>
        <v>0</v>
      </c>
      <c r="CK40">
        <f t="shared" si="29"/>
        <v>0</v>
      </c>
      <c r="CL40">
        <f t="shared" si="30"/>
        <v>0</v>
      </c>
      <c r="CM40">
        <f t="shared" si="31"/>
        <v>0</v>
      </c>
      <c r="CN40">
        <f t="shared" si="32"/>
        <v>0</v>
      </c>
      <c r="CO40">
        <f t="shared" si="33"/>
        <v>0</v>
      </c>
      <c r="CP40">
        <f t="shared" si="34"/>
        <v>0</v>
      </c>
      <c r="CQ40">
        <f t="shared" si="35"/>
        <v>0</v>
      </c>
      <c r="CR40">
        <f t="shared" si="36"/>
        <v>0</v>
      </c>
      <c r="CS40">
        <f t="shared" si="37"/>
        <v>0</v>
      </c>
      <c r="CT40">
        <f t="shared" si="38"/>
        <v>0</v>
      </c>
      <c r="CU40">
        <f t="shared" si="39"/>
        <v>10</v>
      </c>
      <c r="CV40">
        <f t="shared" si="40"/>
        <v>0</v>
      </c>
      <c r="CW40">
        <f t="shared" si="41"/>
        <v>0</v>
      </c>
      <c r="CX40">
        <f t="shared" si="42"/>
        <v>1.5</v>
      </c>
      <c r="CY40">
        <f t="shared" si="43"/>
        <v>0</v>
      </c>
      <c r="CZ40">
        <f t="shared" si="44"/>
        <v>0</v>
      </c>
      <c r="DA40">
        <f t="shared" si="45"/>
        <v>0</v>
      </c>
      <c r="DB40">
        <f t="shared" si="46"/>
        <v>0</v>
      </c>
      <c r="DC40">
        <f t="shared" si="47"/>
        <v>0</v>
      </c>
      <c r="DD40">
        <f t="shared" si="48"/>
        <v>3</v>
      </c>
      <c r="DE40">
        <f t="shared" si="49"/>
        <v>0</v>
      </c>
      <c r="DF40">
        <f t="shared" si="50"/>
        <v>0</v>
      </c>
      <c r="DG40">
        <f t="shared" si="51"/>
        <v>3</v>
      </c>
      <c r="DH40">
        <f t="shared" si="52"/>
        <v>0</v>
      </c>
      <c r="DI40">
        <f t="shared" si="53"/>
        <v>0</v>
      </c>
      <c r="DJ40">
        <f t="shared" si="54"/>
        <v>0</v>
      </c>
      <c r="DK40">
        <f t="shared" si="55"/>
        <v>10</v>
      </c>
      <c r="DL40">
        <f t="shared" si="56"/>
        <v>0</v>
      </c>
      <c r="DM40">
        <f t="shared" si="57"/>
        <v>0</v>
      </c>
      <c r="DO40">
        <f t="shared" si="58"/>
        <v>86.5</v>
      </c>
    </row>
    <row r="41" spans="1:119" x14ac:dyDescent="0.35">
      <c r="A41" t="s">
        <v>20</v>
      </c>
      <c r="B41">
        <v>40</v>
      </c>
      <c r="C41" s="10">
        <v>3</v>
      </c>
      <c r="D41">
        <v>1.5</v>
      </c>
      <c r="E41">
        <v>10</v>
      </c>
      <c r="F41">
        <v>3</v>
      </c>
      <c r="G41">
        <v>1.5</v>
      </c>
      <c r="H41">
        <v>10</v>
      </c>
      <c r="I41">
        <v>3</v>
      </c>
      <c r="J41">
        <v>3</v>
      </c>
      <c r="K41">
        <v>1.5</v>
      </c>
      <c r="L41">
        <v>1.5</v>
      </c>
      <c r="M41">
        <v>10</v>
      </c>
      <c r="N41">
        <v>0</v>
      </c>
      <c r="O41">
        <v>10</v>
      </c>
      <c r="P41">
        <v>3</v>
      </c>
      <c r="Q41">
        <v>3</v>
      </c>
      <c r="R41">
        <v>3</v>
      </c>
      <c r="S41">
        <v>3</v>
      </c>
      <c r="T41">
        <v>3</v>
      </c>
      <c r="U41">
        <v>1.5</v>
      </c>
      <c r="V41">
        <v>3</v>
      </c>
      <c r="W41">
        <v>3</v>
      </c>
      <c r="X41">
        <v>3</v>
      </c>
      <c r="Y41">
        <v>10</v>
      </c>
      <c r="Z41">
        <v>10</v>
      </c>
      <c r="AA41">
        <v>1.5</v>
      </c>
      <c r="AB41">
        <v>0</v>
      </c>
      <c r="AC41">
        <v>1.5</v>
      </c>
      <c r="AD41">
        <v>1.5</v>
      </c>
      <c r="AE41">
        <v>1.5</v>
      </c>
      <c r="AF41">
        <v>1.5</v>
      </c>
      <c r="AG41">
        <v>3</v>
      </c>
      <c r="AH41">
        <v>3</v>
      </c>
      <c r="AI41">
        <v>10</v>
      </c>
      <c r="AJ41">
        <v>1.5</v>
      </c>
      <c r="AK41">
        <v>1.5</v>
      </c>
      <c r="AL41">
        <v>1.5</v>
      </c>
      <c r="AM41">
        <v>1.5</v>
      </c>
      <c r="AN41">
        <v>10</v>
      </c>
      <c r="AO41">
        <v>3</v>
      </c>
      <c r="AP41">
        <v>10</v>
      </c>
      <c r="AQ41">
        <v>0</v>
      </c>
      <c r="AR41">
        <v>10</v>
      </c>
      <c r="AS41">
        <v>3</v>
      </c>
      <c r="AT41">
        <v>1.5</v>
      </c>
      <c r="AU41">
        <v>1.5</v>
      </c>
      <c r="AV41">
        <v>1.5</v>
      </c>
      <c r="AW41">
        <v>1.5</v>
      </c>
      <c r="AX41">
        <v>3</v>
      </c>
      <c r="AY41">
        <v>3</v>
      </c>
      <c r="AZ41">
        <v>3</v>
      </c>
      <c r="BA41">
        <v>1.5</v>
      </c>
      <c r="BB41">
        <v>4.5</v>
      </c>
      <c r="BC41">
        <v>10</v>
      </c>
      <c r="BD41">
        <v>10</v>
      </c>
      <c r="BE41">
        <v>10</v>
      </c>
      <c r="BF41">
        <v>1.5</v>
      </c>
      <c r="BG41">
        <v>1.5</v>
      </c>
      <c r="BI41">
        <f t="shared" si="1"/>
        <v>3</v>
      </c>
      <c r="BJ41">
        <f t="shared" si="2"/>
        <v>0</v>
      </c>
      <c r="BK41">
        <f t="shared" si="3"/>
        <v>0</v>
      </c>
      <c r="BL41">
        <f t="shared" si="4"/>
        <v>3</v>
      </c>
      <c r="BM41">
        <f t="shared" si="5"/>
        <v>0</v>
      </c>
      <c r="BN41">
        <f t="shared" si="6"/>
        <v>0</v>
      </c>
      <c r="BO41">
        <f t="shared" si="7"/>
        <v>3</v>
      </c>
      <c r="BP41">
        <f t="shared" si="8"/>
        <v>3</v>
      </c>
      <c r="BQ41">
        <f t="shared" si="9"/>
        <v>1.5</v>
      </c>
      <c r="BR41">
        <f t="shared" si="10"/>
        <v>0</v>
      </c>
      <c r="BS41">
        <f t="shared" si="11"/>
        <v>0</v>
      </c>
      <c r="BT41">
        <f t="shared" si="12"/>
        <v>0</v>
      </c>
      <c r="BU41">
        <f t="shared" si="13"/>
        <v>0</v>
      </c>
      <c r="BV41">
        <f t="shared" si="14"/>
        <v>3</v>
      </c>
      <c r="BW41">
        <f t="shared" si="15"/>
        <v>3</v>
      </c>
      <c r="BX41">
        <f t="shared" si="16"/>
        <v>0</v>
      </c>
      <c r="BY41">
        <f t="shared" si="17"/>
        <v>3</v>
      </c>
      <c r="BZ41">
        <f t="shared" si="18"/>
        <v>3</v>
      </c>
      <c r="CA41">
        <f t="shared" si="19"/>
        <v>0</v>
      </c>
      <c r="CB41">
        <f t="shared" si="20"/>
        <v>3</v>
      </c>
      <c r="CC41">
        <f t="shared" si="21"/>
        <v>0</v>
      </c>
      <c r="CD41">
        <f t="shared" si="22"/>
        <v>0</v>
      </c>
      <c r="CE41">
        <f t="shared" si="23"/>
        <v>0</v>
      </c>
      <c r="CF41">
        <f t="shared" si="24"/>
        <v>0</v>
      </c>
      <c r="CG41">
        <f t="shared" si="25"/>
        <v>0</v>
      </c>
      <c r="CH41">
        <f t="shared" si="26"/>
        <v>0</v>
      </c>
      <c r="CI41">
        <f t="shared" si="27"/>
        <v>0</v>
      </c>
      <c r="CJ41">
        <f t="shared" si="28"/>
        <v>0</v>
      </c>
      <c r="CK41">
        <f t="shared" si="29"/>
        <v>0</v>
      </c>
      <c r="CL41">
        <f t="shared" si="30"/>
        <v>0</v>
      </c>
      <c r="CM41">
        <f t="shared" si="31"/>
        <v>0</v>
      </c>
      <c r="CN41">
        <f t="shared" si="32"/>
        <v>0</v>
      </c>
      <c r="CO41">
        <f t="shared" si="33"/>
        <v>0</v>
      </c>
      <c r="CP41">
        <f t="shared" si="34"/>
        <v>0</v>
      </c>
      <c r="CQ41">
        <f t="shared" si="35"/>
        <v>0</v>
      </c>
      <c r="CR41">
        <f t="shared" si="36"/>
        <v>0</v>
      </c>
      <c r="CS41">
        <f t="shared" si="37"/>
        <v>0</v>
      </c>
      <c r="CT41">
        <f t="shared" si="38"/>
        <v>0</v>
      </c>
      <c r="CU41">
        <f t="shared" si="39"/>
        <v>3</v>
      </c>
      <c r="CV41">
        <f t="shared" si="40"/>
        <v>0</v>
      </c>
      <c r="CW41">
        <f t="shared" si="41"/>
        <v>0</v>
      </c>
      <c r="CX41">
        <f t="shared" si="42"/>
        <v>10</v>
      </c>
      <c r="CY41">
        <f t="shared" si="43"/>
        <v>0</v>
      </c>
      <c r="CZ41">
        <f t="shared" si="44"/>
        <v>0</v>
      </c>
      <c r="DA41">
        <f t="shared" si="45"/>
        <v>0</v>
      </c>
      <c r="DB41">
        <f t="shared" si="46"/>
        <v>0</v>
      </c>
      <c r="DC41">
        <f t="shared" si="47"/>
        <v>0</v>
      </c>
      <c r="DD41">
        <f t="shared" si="48"/>
        <v>3</v>
      </c>
      <c r="DE41">
        <f t="shared" si="49"/>
        <v>0</v>
      </c>
      <c r="DF41">
        <f t="shared" si="50"/>
        <v>0</v>
      </c>
      <c r="DG41">
        <f t="shared" si="51"/>
        <v>1.5</v>
      </c>
      <c r="DH41">
        <f t="shared" si="52"/>
        <v>0</v>
      </c>
      <c r="DI41">
        <f t="shared" si="53"/>
        <v>0</v>
      </c>
      <c r="DJ41">
        <f t="shared" si="54"/>
        <v>0</v>
      </c>
      <c r="DK41">
        <f t="shared" si="55"/>
        <v>10</v>
      </c>
      <c r="DL41">
        <f t="shared" si="56"/>
        <v>0</v>
      </c>
      <c r="DM41">
        <f t="shared" si="57"/>
        <v>1.5</v>
      </c>
      <c r="DO41">
        <f t="shared" si="58"/>
        <v>57.5</v>
      </c>
    </row>
    <row r="42" spans="1:119" x14ac:dyDescent="0.35">
      <c r="A42" t="s">
        <v>66</v>
      </c>
      <c r="B42">
        <v>41</v>
      </c>
      <c r="C42" s="10">
        <v>1.5</v>
      </c>
      <c r="D42">
        <v>10</v>
      </c>
      <c r="E42">
        <v>1.5</v>
      </c>
      <c r="F42">
        <v>3</v>
      </c>
      <c r="G42">
        <v>0</v>
      </c>
      <c r="H42">
        <v>1.5</v>
      </c>
      <c r="I42">
        <v>3</v>
      </c>
      <c r="J42">
        <v>0</v>
      </c>
      <c r="K42">
        <v>10</v>
      </c>
      <c r="L42">
        <v>1.5</v>
      </c>
      <c r="M42">
        <v>0</v>
      </c>
      <c r="N42">
        <v>0</v>
      </c>
      <c r="O42">
        <v>1.5</v>
      </c>
      <c r="P42">
        <v>3</v>
      </c>
      <c r="Q42">
        <v>10</v>
      </c>
      <c r="R42">
        <v>1.5</v>
      </c>
      <c r="S42">
        <v>3</v>
      </c>
      <c r="T42">
        <v>1.5</v>
      </c>
      <c r="U42">
        <v>0</v>
      </c>
      <c r="V42">
        <v>1.5</v>
      </c>
      <c r="W42">
        <v>4.5</v>
      </c>
      <c r="X42">
        <v>1.5</v>
      </c>
      <c r="Y42">
        <v>1.5</v>
      </c>
      <c r="Z42">
        <v>3</v>
      </c>
      <c r="AA42">
        <v>1.5</v>
      </c>
      <c r="AB42">
        <v>10</v>
      </c>
      <c r="AC42">
        <v>1.5</v>
      </c>
      <c r="AD42">
        <v>0</v>
      </c>
      <c r="AE42">
        <v>10</v>
      </c>
      <c r="AF42">
        <v>1.5</v>
      </c>
      <c r="AG42">
        <v>3</v>
      </c>
      <c r="AH42">
        <v>1.5</v>
      </c>
      <c r="AI42">
        <v>0</v>
      </c>
      <c r="AJ42">
        <v>10</v>
      </c>
      <c r="AK42">
        <v>3</v>
      </c>
      <c r="AL42">
        <v>10</v>
      </c>
      <c r="AM42">
        <v>10</v>
      </c>
      <c r="AN42">
        <v>0</v>
      </c>
      <c r="AO42">
        <v>1.5</v>
      </c>
      <c r="AP42">
        <v>0</v>
      </c>
      <c r="AQ42">
        <v>10</v>
      </c>
      <c r="AR42">
        <v>1.5</v>
      </c>
      <c r="AS42">
        <v>1.5</v>
      </c>
      <c r="AT42">
        <v>0</v>
      </c>
      <c r="AU42">
        <v>1.5</v>
      </c>
      <c r="AV42">
        <v>3</v>
      </c>
      <c r="AW42">
        <v>10</v>
      </c>
      <c r="AX42">
        <v>4.5</v>
      </c>
      <c r="AY42">
        <v>1.5</v>
      </c>
      <c r="AZ42">
        <v>3</v>
      </c>
      <c r="BA42">
        <v>0</v>
      </c>
      <c r="BB42">
        <v>6</v>
      </c>
      <c r="BC42">
        <v>1.5</v>
      </c>
      <c r="BD42">
        <v>0</v>
      </c>
      <c r="BE42">
        <v>1.5</v>
      </c>
      <c r="BF42">
        <v>1.5</v>
      </c>
      <c r="BG42">
        <v>1.5</v>
      </c>
      <c r="BI42">
        <f t="shared" si="1"/>
        <v>1.5</v>
      </c>
      <c r="BJ42">
        <f t="shared" si="2"/>
        <v>0</v>
      </c>
      <c r="BK42">
        <f t="shared" si="3"/>
        <v>0</v>
      </c>
      <c r="BL42">
        <f t="shared" si="4"/>
        <v>3</v>
      </c>
      <c r="BM42">
        <f t="shared" si="5"/>
        <v>0</v>
      </c>
      <c r="BN42">
        <f t="shared" si="6"/>
        <v>0</v>
      </c>
      <c r="BO42">
        <f t="shared" si="7"/>
        <v>3</v>
      </c>
      <c r="BP42">
        <f t="shared" si="8"/>
        <v>0</v>
      </c>
      <c r="BQ42">
        <f t="shared" si="9"/>
        <v>10</v>
      </c>
      <c r="BR42">
        <f t="shared" si="10"/>
        <v>0</v>
      </c>
      <c r="BS42">
        <f t="shared" si="11"/>
        <v>0</v>
      </c>
      <c r="BT42">
        <f t="shared" si="12"/>
        <v>0</v>
      </c>
      <c r="BU42">
        <f t="shared" si="13"/>
        <v>0</v>
      </c>
      <c r="BV42">
        <f t="shared" si="14"/>
        <v>3</v>
      </c>
      <c r="BW42">
        <f t="shared" si="15"/>
        <v>10</v>
      </c>
      <c r="BX42">
        <f t="shared" si="16"/>
        <v>0</v>
      </c>
      <c r="BY42">
        <f t="shared" si="17"/>
        <v>3</v>
      </c>
      <c r="BZ42">
        <f t="shared" si="18"/>
        <v>1.5</v>
      </c>
      <c r="CA42">
        <f t="shared" si="19"/>
        <v>0</v>
      </c>
      <c r="CB42">
        <f t="shared" si="20"/>
        <v>1.5</v>
      </c>
      <c r="CC42">
        <f t="shared" si="21"/>
        <v>0</v>
      </c>
      <c r="CD42">
        <f t="shared" si="22"/>
        <v>0</v>
      </c>
      <c r="CE42">
        <f t="shared" si="23"/>
        <v>0</v>
      </c>
      <c r="CF42">
        <f t="shared" si="24"/>
        <v>0</v>
      </c>
      <c r="CG42">
        <f t="shared" si="25"/>
        <v>0</v>
      </c>
      <c r="CH42">
        <f t="shared" si="26"/>
        <v>0</v>
      </c>
      <c r="CI42">
        <f t="shared" si="27"/>
        <v>0</v>
      </c>
      <c r="CJ42">
        <f t="shared" si="28"/>
        <v>0</v>
      </c>
      <c r="CK42">
        <f t="shared" si="29"/>
        <v>0</v>
      </c>
      <c r="CL42">
        <f t="shared" si="30"/>
        <v>0</v>
      </c>
      <c r="CM42">
        <f t="shared" si="31"/>
        <v>0</v>
      </c>
      <c r="CN42">
        <f t="shared" si="32"/>
        <v>0</v>
      </c>
      <c r="CO42">
        <f t="shared" si="33"/>
        <v>0</v>
      </c>
      <c r="CP42">
        <f t="shared" si="34"/>
        <v>0</v>
      </c>
      <c r="CQ42">
        <f t="shared" si="35"/>
        <v>0</v>
      </c>
      <c r="CR42">
        <f t="shared" si="36"/>
        <v>0</v>
      </c>
      <c r="CS42">
        <f t="shared" si="37"/>
        <v>0</v>
      </c>
      <c r="CT42">
        <f t="shared" si="38"/>
        <v>0</v>
      </c>
      <c r="CU42">
        <f t="shared" si="39"/>
        <v>1.5</v>
      </c>
      <c r="CV42">
        <f t="shared" si="40"/>
        <v>0</v>
      </c>
      <c r="CW42">
        <f t="shared" si="41"/>
        <v>0</v>
      </c>
      <c r="CX42">
        <f t="shared" si="42"/>
        <v>1.5</v>
      </c>
      <c r="CY42">
        <f t="shared" si="43"/>
        <v>0</v>
      </c>
      <c r="CZ42">
        <f t="shared" si="44"/>
        <v>0</v>
      </c>
      <c r="DA42">
        <f t="shared" si="45"/>
        <v>0</v>
      </c>
      <c r="DB42">
        <f t="shared" si="46"/>
        <v>0</v>
      </c>
      <c r="DC42">
        <f t="shared" si="47"/>
        <v>0</v>
      </c>
      <c r="DD42">
        <f t="shared" si="48"/>
        <v>4.5</v>
      </c>
      <c r="DE42">
        <f t="shared" si="49"/>
        <v>0</v>
      </c>
      <c r="DF42">
        <f t="shared" si="50"/>
        <v>0</v>
      </c>
      <c r="DG42">
        <f t="shared" si="51"/>
        <v>0</v>
      </c>
      <c r="DH42">
        <f t="shared" si="52"/>
        <v>0</v>
      </c>
      <c r="DI42">
        <f t="shared" si="53"/>
        <v>0</v>
      </c>
      <c r="DJ42">
        <f t="shared" si="54"/>
        <v>0</v>
      </c>
      <c r="DK42">
        <f t="shared" si="55"/>
        <v>1.5</v>
      </c>
      <c r="DL42">
        <f t="shared" si="56"/>
        <v>0</v>
      </c>
      <c r="DM42">
        <f t="shared" si="57"/>
        <v>1.5</v>
      </c>
      <c r="DO42">
        <f t="shared" si="58"/>
        <v>47</v>
      </c>
    </row>
    <row r="43" spans="1:119" x14ac:dyDescent="0.35">
      <c r="A43" t="s">
        <v>50</v>
      </c>
      <c r="B43">
        <v>42</v>
      </c>
      <c r="C43" s="10">
        <v>0</v>
      </c>
      <c r="D43">
        <v>3</v>
      </c>
      <c r="E43">
        <v>3</v>
      </c>
      <c r="F43">
        <v>10</v>
      </c>
      <c r="G43">
        <v>3</v>
      </c>
      <c r="H43">
        <v>1.5</v>
      </c>
      <c r="I43">
        <v>0</v>
      </c>
      <c r="J43">
        <v>3</v>
      </c>
      <c r="K43">
        <v>10</v>
      </c>
      <c r="L43">
        <v>3</v>
      </c>
      <c r="M43">
        <v>10</v>
      </c>
      <c r="N43">
        <v>0</v>
      </c>
      <c r="O43">
        <v>1.5</v>
      </c>
      <c r="P43">
        <v>10</v>
      </c>
      <c r="Q43">
        <v>3</v>
      </c>
      <c r="R43">
        <v>3</v>
      </c>
      <c r="S43">
        <v>1.5</v>
      </c>
      <c r="T43">
        <v>1.5</v>
      </c>
      <c r="U43">
        <v>1.5</v>
      </c>
      <c r="V43">
        <v>0</v>
      </c>
      <c r="W43">
        <v>1.5</v>
      </c>
      <c r="X43">
        <v>1.5</v>
      </c>
      <c r="Y43">
        <v>1.5</v>
      </c>
      <c r="Z43">
        <v>3</v>
      </c>
      <c r="AA43">
        <v>1.5</v>
      </c>
      <c r="AB43">
        <v>1.5</v>
      </c>
      <c r="AC43">
        <v>0</v>
      </c>
      <c r="AD43">
        <v>0</v>
      </c>
      <c r="AE43">
        <v>0</v>
      </c>
      <c r="AF43">
        <v>1.5</v>
      </c>
      <c r="AG43">
        <v>3</v>
      </c>
      <c r="AH43">
        <v>1.5</v>
      </c>
      <c r="AI43">
        <v>10</v>
      </c>
      <c r="AJ43">
        <v>3</v>
      </c>
      <c r="AK43">
        <v>1.5</v>
      </c>
      <c r="AL43">
        <v>1.5</v>
      </c>
      <c r="AM43">
        <v>3</v>
      </c>
      <c r="AN43">
        <v>1.5</v>
      </c>
      <c r="AO43">
        <v>1.5</v>
      </c>
      <c r="AP43">
        <v>10</v>
      </c>
      <c r="AQ43">
        <v>1.5</v>
      </c>
      <c r="AR43">
        <v>10</v>
      </c>
      <c r="AS43">
        <v>3</v>
      </c>
      <c r="AT43">
        <v>0</v>
      </c>
      <c r="AU43">
        <v>0</v>
      </c>
      <c r="AV43">
        <v>1.5</v>
      </c>
      <c r="AW43">
        <v>0</v>
      </c>
      <c r="AX43">
        <v>10</v>
      </c>
      <c r="AY43">
        <v>1.5</v>
      </c>
      <c r="AZ43">
        <v>1.5</v>
      </c>
      <c r="BA43">
        <v>1.5</v>
      </c>
      <c r="BB43">
        <v>1.5</v>
      </c>
      <c r="BC43">
        <v>3</v>
      </c>
      <c r="BD43">
        <v>10</v>
      </c>
      <c r="BE43">
        <v>1.5</v>
      </c>
      <c r="BF43">
        <v>1.5</v>
      </c>
      <c r="BG43">
        <v>10</v>
      </c>
      <c r="BI43">
        <f t="shared" si="1"/>
        <v>0</v>
      </c>
      <c r="BJ43">
        <f t="shared" si="2"/>
        <v>0</v>
      </c>
      <c r="BK43">
        <f t="shared" si="3"/>
        <v>0</v>
      </c>
      <c r="BL43">
        <f t="shared" si="4"/>
        <v>10</v>
      </c>
      <c r="BM43">
        <f t="shared" si="5"/>
        <v>0</v>
      </c>
      <c r="BN43">
        <f t="shared" si="6"/>
        <v>0</v>
      </c>
      <c r="BO43">
        <f t="shared" si="7"/>
        <v>0</v>
      </c>
      <c r="BP43">
        <f t="shared" si="8"/>
        <v>3</v>
      </c>
      <c r="BQ43">
        <f t="shared" si="9"/>
        <v>10</v>
      </c>
      <c r="BR43">
        <f t="shared" si="10"/>
        <v>0</v>
      </c>
      <c r="BS43">
        <f t="shared" si="11"/>
        <v>0</v>
      </c>
      <c r="BT43">
        <f t="shared" si="12"/>
        <v>0</v>
      </c>
      <c r="BU43">
        <f t="shared" si="13"/>
        <v>0</v>
      </c>
      <c r="BV43">
        <f t="shared" si="14"/>
        <v>10</v>
      </c>
      <c r="BW43">
        <f t="shared" si="15"/>
        <v>3</v>
      </c>
      <c r="BX43">
        <f t="shared" si="16"/>
        <v>0</v>
      </c>
      <c r="BY43">
        <f t="shared" si="17"/>
        <v>1.5</v>
      </c>
      <c r="BZ43">
        <f t="shared" si="18"/>
        <v>1.5</v>
      </c>
      <c r="CA43">
        <f t="shared" si="19"/>
        <v>0</v>
      </c>
      <c r="CB43">
        <f t="shared" si="20"/>
        <v>0</v>
      </c>
      <c r="CC43">
        <f t="shared" si="21"/>
        <v>0</v>
      </c>
      <c r="CD43">
        <f t="shared" si="22"/>
        <v>0</v>
      </c>
      <c r="CE43">
        <f t="shared" si="23"/>
        <v>0</v>
      </c>
      <c r="CF43">
        <f t="shared" si="24"/>
        <v>0</v>
      </c>
      <c r="CG43">
        <f t="shared" si="25"/>
        <v>0</v>
      </c>
      <c r="CH43">
        <f t="shared" si="26"/>
        <v>0</v>
      </c>
      <c r="CI43">
        <f t="shared" si="27"/>
        <v>0</v>
      </c>
      <c r="CJ43">
        <f t="shared" si="28"/>
        <v>0</v>
      </c>
      <c r="CK43">
        <f t="shared" si="29"/>
        <v>0</v>
      </c>
      <c r="CL43">
        <f t="shared" si="30"/>
        <v>0</v>
      </c>
      <c r="CM43">
        <f t="shared" si="31"/>
        <v>0</v>
      </c>
      <c r="CN43">
        <f t="shared" si="32"/>
        <v>0</v>
      </c>
      <c r="CO43">
        <f t="shared" si="33"/>
        <v>0</v>
      </c>
      <c r="CP43">
        <f t="shared" si="34"/>
        <v>0</v>
      </c>
      <c r="CQ43">
        <f t="shared" si="35"/>
        <v>0</v>
      </c>
      <c r="CR43">
        <f t="shared" si="36"/>
        <v>0</v>
      </c>
      <c r="CS43">
        <f t="shared" si="37"/>
        <v>0</v>
      </c>
      <c r="CT43">
        <f t="shared" si="38"/>
        <v>0</v>
      </c>
      <c r="CU43">
        <f t="shared" si="39"/>
        <v>1.5</v>
      </c>
      <c r="CV43">
        <f t="shared" si="40"/>
        <v>0</v>
      </c>
      <c r="CW43">
        <f t="shared" si="41"/>
        <v>0</v>
      </c>
      <c r="CX43">
        <f t="shared" si="42"/>
        <v>10</v>
      </c>
      <c r="CY43">
        <f t="shared" si="43"/>
        <v>0</v>
      </c>
      <c r="CZ43">
        <f t="shared" si="44"/>
        <v>0</v>
      </c>
      <c r="DA43">
        <f t="shared" si="45"/>
        <v>0</v>
      </c>
      <c r="DB43">
        <f t="shared" si="46"/>
        <v>0</v>
      </c>
      <c r="DC43">
        <f t="shared" si="47"/>
        <v>0</v>
      </c>
      <c r="DD43">
        <f t="shared" si="48"/>
        <v>10</v>
      </c>
      <c r="DE43">
        <f t="shared" si="49"/>
        <v>0</v>
      </c>
      <c r="DF43">
        <f t="shared" si="50"/>
        <v>0</v>
      </c>
      <c r="DG43">
        <f t="shared" si="51"/>
        <v>1.5</v>
      </c>
      <c r="DH43">
        <f t="shared" si="52"/>
        <v>0</v>
      </c>
      <c r="DI43">
        <f t="shared" si="53"/>
        <v>0</v>
      </c>
      <c r="DJ43">
        <f t="shared" si="54"/>
        <v>0</v>
      </c>
      <c r="DK43">
        <f t="shared" si="55"/>
        <v>1.5</v>
      </c>
      <c r="DL43">
        <f t="shared" si="56"/>
        <v>0</v>
      </c>
      <c r="DM43">
        <f t="shared" si="57"/>
        <v>10</v>
      </c>
      <c r="DO43">
        <f t="shared" si="58"/>
        <v>73.5</v>
      </c>
    </row>
    <row r="44" spans="1:119" x14ac:dyDescent="0.35">
      <c r="A44" t="s">
        <v>51</v>
      </c>
      <c r="B44">
        <v>43</v>
      </c>
      <c r="C44" s="10">
        <v>1.5</v>
      </c>
      <c r="D44">
        <v>1.5</v>
      </c>
      <c r="E44">
        <v>1.5</v>
      </c>
      <c r="F44">
        <v>1.5</v>
      </c>
      <c r="G44">
        <v>0</v>
      </c>
      <c r="H44">
        <v>3</v>
      </c>
      <c r="I44">
        <v>1.5</v>
      </c>
      <c r="J44">
        <v>1.5</v>
      </c>
      <c r="K44">
        <v>4.5</v>
      </c>
      <c r="L44">
        <v>10</v>
      </c>
      <c r="M44">
        <v>10</v>
      </c>
      <c r="N44">
        <v>0</v>
      </c>
      <c r="O44">
        <v>0</v>
      </c>
      <c r="P44">
        <v>10</v>
      </c>
      <c r="Q44">
        <v>4.5</v>
      </c>
      <c r="R44">
        <v>10</v>
      </c>
      <c r="S44">
        <v>1.5</v>
      </c>
      <c r="T44">
        <v>1.5</v>
      </c>
      <c r="U44">
        <v>10</v>
      </c>
      <c r="V44">
        <v>1.5</v>
      </c>
      <c r="W44">
        <v>1.5</v>
      </c>
      <c r="X44">
        <v>10</v>
      </c>
      <c r="Y44">
        <v>0</v>
      </c>
      <c r="Z44">
        <v>3</v>
      </c>
      <c r="AA44">
        <v>1.5</v>
      </c>
      <c r="AB44">
        <v>1.5</v>
      </c>
      <c r="AC44">
        <v>0</v>
      </c>
      <c r="AD44">
        <v>0</v>
      </c>
      <c r="AE44">
        <v>0</v>
      </c>
      <c r="AF44">
        <v>1.5</v>
      </c>
      <c r="AG44">
        <v>10</v>
      </c>
      <c r="AH44">
        <v>3</v>
      </c>
      <c r="AI44">
        <v>1.5</v>
      </c>
      <c r="AJ44">
        <v>3</v>
      </c>
      <c r="AK44">
        <v>1.5</v>
      </c>
      <c r="AL44">
        <v>3</v>
      </c>
      <c r="AM44">
        <v>10</v>
      </c>
      <c r="AN44">
        <v>0</v>
      </c>
      <c r="AO44">
        <v>10</v>
      </c>
      <c r="AP44">
        <v>3</v>
      </c>
      <c r="AQ44">
        <v>1.5</v>
      </c>
      <c r="AR44">
        <v>3</v>
      </c>
      <c r="AS44">
        <v>10</v>
      </c>
      <c r="AT44">
        <v>3</v>
      </c>
      <c r="AU44">
        <v>3</v>
      </c>
      <c r="AV44">
        <v>1.5</v>
      </c>
      <c r="AW44">
        <v>0</v>
      </c>
      <c r="AX44">
        <v>3</v>
      </c>
      <c r="AY44">
        <v>0</v>
      </c>
      <c r="AZ44">
        <v>0</v>
      </c>
      <c r="BA44">
        <v>0</v>
      </c>
      <c r="BB44">
        <v>3</v>
      </c>
      <c r="BC44">
        <v>10</v>
      </c>
      <c r="BD44">
        <v>3</v>
      </c>
      <c r="BE44">
        <v>3</v>
      </c>
      <c r="BF44">
        <v>0</v>
      </c>
      <c r="BG44">
        <v>1.5</v>
      </c>
      <c r="BI44">
        <f t="shared" si="1"/>
        <v>1.5</v>
      </c>
      <c r="BJ44">
        <f t="shared" si="2"/>
        <v>0</v>
      </c>
      <c r="BK44">
        <f t="shared" si="3"/>
        <v>0</v>
      </c>
      <c r="BL44">
        <f t="shared" si="4"/>
        <v>1.5</v>
      </c>
      <c r="BM44">
        <f t="shared" si="5"/>
        <v>0</v>
      </c>
      <c r="BN44">
        <f t="shared" si="6"/>
        <v>0</v>
      </c>
      <c r="BO44">
        <f t="shared" si="7"/>
        <v>1.5</v>
      </c>
      <c r="BP44">
        <f t="shared" si="8"/>
        <v>1.5</v>
      </c>
      <c r="BQ44">
        <f t="shared" si="9"/>
        <v>4.5</v>
      </c>
      <c r="BR44">
        <f t="shared" si="10"/>
        <v>0</v>
      </c>
      <c r="BS44">
        <f t="shared" si="11"/>
        <v>0</v>
      </c>
      <c r="BT44">
        <f t="shared" si="12"/>
        <v>0</v>
      </c>
      <c r="BU44">
        <f t="shared" si="13"/>
        <v>0</v>
      </c>
      <c r="BV44">
        <f t="shared" si="14"/>
        <v>10</v>
      </c>
      <c r="BW44">
        <f t="shared" si="15"/>
        <v>4.5</v>
      </c>
      <c r="BX44">
        <f t="shared" si="16"/>
        <v>0</v>
      </c>
      <c r="BY44">
        <f t="shared" si="17"/>
        <v>1.5</v>
      </c>
      <c r="BZ44">
        <f t="shared" si="18"/>
        <v>1.5</v>
      </c>
      <c r="CA44">
        <f t="shared" si="19"/>
        <v>0</v>
      </c>
      <c r="CB44">
        <f t="shared" si="20"/>
        <v>1.5</v>
      </c>
      <c r="CC44">
        <f t="shared" si="21"/>
        <v>0</v>
      </c>
      <c r="CD44">
        <f t="shared" si="22"/>
        <v>0</v>
      </c>
      <c r="CE44">
        <f t="shared" si="23"/>
        <v>0</v>
      </c>
      <c r="CF44">
        <f t="shared" si="24"/>
        <v>0</v>
      </c>
      <c r="CG44">
        <f t="shared" si="25"/>
        <v>0</v>
      </c>
      <c r="CH44">
        <f t="shared" si="26"/>
        <v>0</v>
      </c>
      <c r="CI44">
        <f t="shared" si="27"/>
        <v>0</v>
      </c>
      <c r="CJ44">
        <f t="shared" si="28"/>
        <v>0</v>
      </c>
      <c r="CK44">
        <f t="shared" si="29"/>
        <v>0</v>
      </c>
      <c r="CL44">
        <f t="shared" si="30"/>
        <v>0</v>
      </c>
      <c r="CM44">
        <f t="shared" si="31"/>
        <v>0</v>
      </c>
      <c r="CN44">
        <f t="shared" si="32"/>
        <v>0</v>
      </c>
      <c r="CO44">
        <f t="shared" si="33"/>
        <v>0</v>
      </c>
      <c r="CP44">
        <f t="shared" si="34"/>
        <v>0</v>
      </c>
      <c r="CQ44">
        <f t="shared" si="35"/>
        <v>0</v>
      </c>
      <c r="CR44">
        <f t="shared" si="36"/>
        <v>0</v>
      </c>
      <c r="CS44">
        <f t="shared" si="37"/>
        <v>0</v>
      </c>
      <c r="CT44">
        <f t="shared" si="38"/>
        <v>0</v>
      </c>
      <c r="CU44">
        <f t="shared" si="39"/>
        <v>10</v>
      </c>
      <c r="CV44">
        <f t="shared" si="40"/>
        <v>0</v>
      </c>
      <c r="CW44">
        <f t="shared" si="41"/>
        <v>0</v>
      </c>
      <c r="CX44">
        <f t="shared" si="42"/>
        <v>3</v>
      </c>
      <c r="CY44">
        <f t="shared" si="43"/>
        <v>0</v>
      </c>
      <c r="CZ44">
        <f t="shared" si="44"/>
        <v>0</v>
      </c>
      <c r="DA44">
        <f t="shared" si="45"/>
        <v>0</v>
      </c>
      <c r="DB44">
        <f t="shared" si="46"/>
        <v>0</v>
      </c>
      <c r="DC44">
        <f t="shared" si="47"/>
        <v>0</v>
      </c>
      <c r="DD44">
        <f t="shared" si="48"/>
        <v>3</v>
      </c>
      <c r="DE44">
        <f t="shared" si="49"/>
        <v>0</v>
      </c>
      <c r="DF44">
        <f t="shared" si="50"/>
        <v>0</v>
      </c>
      <c r="DG44">
        <f t="shared" si="51"/>
        <v>0</v>
      </c>
      <c r="DH44">
        <f t="shared" si="52"/>
        <v>0</v>
      </c>
      <c r="DI44">
        <f t="shared" si="53"/>
        <v>0</v>
      </c>
      <c r="DJ44">
        <f t="shared" si="54"/>
        <v>0</v>
      </c>
      <c r="DK44">
        <f t="shared" si="55"/>
        <v>3</v>
      </c>
      <c r="DL44">
        <f t="shared" si="56"/>
        <v>0</v>
      </c>
      <c r="DM44">
        <f t="shared" si="57"/>
        <v>1.5</v>
      </c>
      <c r="DO44">
        <f t="shared" si="58"/>
        <v>50</v>
      </c>
    </row>
    <row r="45" spans="1:119" x14ac:dyDescent="0.35">
      <c r="A45" t="s">
        <v>52</v>
      </c>
      <c r="B45">
        <v>44</v>
      </c>
      <c r="C45" s="10">
        <v>10</v>
      </c>
      <c r="D45">
        <v>1.5</v>
      </c>
      <c r="E45">
        <v>1.5</v>
      </c>
      <c r="F45">
        <v>1.5</v>
      </c>
      <c r="G45">
        <v>1.5</v>
      </c>
      <c r="H45">
        <v>0</v>
      </c>
      <c r="I45">
        <v>3</v>
      </c>
      <c r="J45">
        <v>3</v>
      </c>
      <c r="K45">
        <v>1.5</v>
      </c>
      <c r="L45">
        <v>3</v>
      </c>
      <c r="M45">
        <v>1.5</v>
      </c>
      <c r="N45">
        <v>1.5</v>
      </c>
      <c r="O45">
        <v>1.5</v>
      </c>
      <c r="P45">
        <v>1.5</v>
      </c>
      <c r="Q45">
        <v>3</v>
      </c>
      <c r="R45">
        <v>10</v>
      </c>
      <c r="S45">
        <v>1.5</v>
      </c>
      <c r="T45">
        <v>3</v>
      </c>
      <c r="U45">
        <v>10</v>
      </c>
      <c r="V45">
        <v>10</v>
      </c>
      <c r="W45">
        <v>1.5</v>
      </c>
      <c r="X45">
        <v>1.5</v>
      </c>
      <c r="Y45">
        <v>3</v>
      </c>
      <c r="Z45">
        <v>0</v>
      </c>
      <c r="AA45">
        <v>10</v>
      </c>
      <c r="AB45">
        <v>0</v>
      </c>
      <c r="AC45">
        <v>3</v>
      </c>
      <c r="AD45">
        <v>10</v>
      </c>
      <c r="AE45">
        <v>0</v>
      </c>
      <c r="AF45">
        <v>3</v>
      </c>
      <c r="AG45">
        <v>1.5</v>
      </c>
      <c r="AH45">
        <v>1.5</v>
      </c>
      <c r="AI45">
        <v>0</v>
      </c>
      <c r="AJ45">
        <v>0</v>
      </c>
      <c r="AK45">
        <v>3</v>
      </c>
      <c r="AL45">
        <v>0</v>
      </c>
      <c r="AM45">
        <v>1.5</v>
      </c>
      <c r="AN45">
        <v>10</v>
      </c>
      <c r="AO45">
        <v>4.5</v>
      </c>
      <c r="AP45">
        <v>1.5</v>
      </c>
      <c r="AQ45">
        <v>0</v>
      </c>
      <c r="AR45">
        <v>0</v>
      </c>
      <c r="AS45">
        <v>3</v>
      </c>
      <c r="AT45">
        <v>10</v>
      </c>
      <c r="AU45">
        <v>10</v>
      </c>
      <c r="AV45">
        <v>1.5</v>
      </c>
      <c r="AW45">
        <v>1.5</v>
      </c>
      <c r="AX45">
        <v>0</v>
      </c>
      <c r="AY45">
        <v>10</v>
      </c>
      <c r="AZ45">
        <v>1.5</v>
      </c>
      <c r="BA45">
        <v>10</v>
      </c>
      <c r="BB45">
        <v>0</v>
      </c>
      <c r="BC45">
        <v>1.5</v>
      </c>
      <c r="BD45">
        <v>1.5</v>
      </c>
      <c r="BE45">
        <v>3</v>
      </c>
      <c r="BF45">
        <v>3</v>
      </c>
      <c r="BG45">
        <v>1.5</v>
      </c>
      <c r="BI45">
        <f t="shared" si="1"/>
        <v>10</v>
      </c>
      <c r="BJ45">
        <f t="shared" si="2"/>
        <v>0</v>
      </c>
      <c r="BK45">
        <f t="shared" si="3"/>
        <v>0</v>
      </c>
      <c r="BL45">
        <f t="shared" si="4"/>
        <v>1.5</v>
      </c>
      <c r="BM45">
        <f t="shared" si="5"/>
        <v>0</v>
      </c>
      <c r="BN45">
        <f t="shared" si="6"/>
        <v>0</v>
      </c>
      <c r="BO45">
        <f t="shared" si="7"/>
        <v>3</v>
      </c>
      <c r="BP45">
        <f t="shared" si="8"/>
        <v>3</v>
      </c>
      <c r="BQ45">
        <f t="shared" si="9"/>
        <v>1.5</v>
      </c>
      <c r="BR45">
        <f t="shared" si="10"/>
        <v>0</v>
      </c>
      <c r="BS45">
        <f t="shared" si="11"/>
        <v>0</v>
      </c>
      <c r="BT45">
        <f t="shared" si="12"/>
        <v>0</v>
      </c>
      <c r="BU45">
        <f t="shared" si="13"/>
        <v>0</v>
      </c>
      <c r="BV45">
        <f t="shared" si="14"/>
        <v>1.5</v>
      </c>
      <c r="BW45">
        <f t="shared" si="15"/>
        <v>3</v>
      </c>
      <c r="BX45">
        <f t="shared" si="16"/>
        <v>0</v>
      </c>
      <c r="BY45">
        <f t="shared" si="17"/>
        <v>1.5</v>
      </c>
      <c r="BZ45">
        <f t="shared" si="18"/>
        <v>3</v>
      </c>
      <c r="CA45">
        <f t="shared" si="19"/>
        <v>0</v>
      </c>
      <c r="CB45">
        <f t="shared" si="20"/>
        <v>10</v>
      </c>
      <c r="CC45">
        <f t="shared" si="21"/>
        <v>0</v>
      </c>
      <c r="CD45">
        <f t="shared" si="22"/>
        <v>0</v>
      </c>
      <c r="CE45">
        <f t="shared" si="23"/>
        <v>0</v>
      </c>
      <c r="CF45">
        <f t="shared" si="24"/>
        <v>0</v>
      </c>
      <c r="CG45">
        <f t="shared" si="25"/>
        <v>0</v>
      </c>
      <c r="CH45">
        <f t="shared" si="26"/>
        <v>0</v>
      </c>
      <c r="CI45">
        <f t="shared" si="27"/>
        <v>0</v>
      </c>
      <c r="CJ45">
        <f t="shared" si="28"/>
        <v>0</v>
      </c>
      <c r="CK45">
        <f t="shared" si="29"/>
        <v>0</v>
      </c>
      <c r="CL45">
        <f t="shared" si="30"/>
        <v>0</v>
      </c>
      <c r="CM45">
        <f t="shared" si="31"/>
        <v>0</v>
      </c>
      <c r="CN45">
        <f t="shared" si="32"/>
        <v>0</v>
      </c>
      <c r="CO45">
        <f t="shared" si="33"/>
        <v>0</v>
      </c>
      <c r="CP45">
        <f t="shared" si="34"/>
        <v>0</v>
      </c>
      <c r="CQ45">
        <f t="shared" si="35"/>
        <v>0</v>
      </c>
      <c r="CR45">
        <f t="shared" si="36"/>
        <v>0</v>
      </c>
      <c r="CS45">
        <f t="shared" si="37"/>
        <v>0</v>
      </c>
      <c r="CT45">
        <f t="shared" si="38"/>
        <v>0</v>
      </c>
      <c r="CU45">
        <f t="shared" si="39"/>
        <v>4.5</v>
      </c>
      <c r="CV45">
        <f t="shared" si="40"/>
        <v>0</v>
      </c>
      <c r="CW45">
        <f t="shared" si="41"/>
        <v>0</v>
      </c>
      <c r="CX45">
        <f t="shared" si="42"/>
        <v>0</v>
      </c>
      <c r="CY45">
        <f t="shared" si="43"/>
        <v>0</v>
      </c>
      <c r="CZ45">
        <f t="shared" si="44"/>
        <v>0</v>
      </c>
      <c r="DA45">
        <f t="shared" si="45"/>
        <v>0</v>
      </c>
      <c r="DB45">
        <f t="shared" si="46"/>
        <v>0</v>
      </c>
      <c r="DC45">
        <f t="shared" si="47"/>
        <v>0</v>
      </c>
      <c r="DD45">
        <f t="shared" si="48"/>
        <v>0</v>
      </c>
      <c r="DE45">
        <f t="shared" si="49"/>
        <v>0</v>
      </c>
      <c r="DF45">
        <f t="shared" si="50"/>
        <v>0</v>
      </c>
      <c r="DG45">
        <f t="shared" si="51"/>
        <v>10</v>
      </c>
      <c r="DH45">
        <f t="shared" si="52"/>
        <v>0</v>
      </c>
      <c r="DI45">
        <f t="shared" si="53"/>
        <v>0</v>
      </c>
      <c r="DJ45">
        <f t="shared" si="54"/>
        <v>0</v>
      </c>
      <c r="DK45">
        <f t="shared" si="55"/>
        <v>3</v>
      </c>
      <c r="DL45">
        <f t="shared" si="56"/>
        <v>0</v>
      </c>
      <c r="DM45">
        <f t="shared" si="57"/>
        <v>1.5</v>
      </c>
      <c r="DO45">
        <f t="shared" si="58"/>
        <v>57</v>
      </c>
    </row>
    <row r="46" spans="1:119" x14ac:dyDescent="0.35">
      <c r="A46" t="s">
        <v>53</v>
      </c>
      <c r="B46">
        <v>45</v>
      </c>
      <c r="C46" s="10">
        <v>1.5</v>
      </c>
      <c r="D46">
        <v>0</v>
      </c>
      <c r="E46">
        <v>0</v>
      </c>
      <c r="F46">
        <v>0</v>
      </c>
      <c r="G46">
        <v>1.5</v>
      </c>
      <c r="H46">
        <v>0</v>
      </c>
      <c r="I46">
        <v>0</v>
      </c>
      <c r="J46">
        <v>3</v>
      </c>
      <c r="K46">
        <v>1.5</v>
      </c>
      <c r="L46">
        <v>3</v>
      </c>
      <c r="M46">
        <v>1.5</v>
      </c>
      <c r="N46">
        <v>1.5</v>
      </c>
      <c r="O46">
        <v>1.5</v>
      </c>
      <c r="P46">
        <v>1.5</v>
      </c>
      <c r="Q46">
        <v>1.5</v>
      </c>
      <c r="R46">
        <v>10</v>
      </c>
      <c r="S46">
        <v>1.5</v>
      </c>
      <c r="T46">
        <v>0</v>
      </c>
      <c r="U46">
        <v>10</v>
      </c>
      <c r="V46">
        <v>1.5</v>
      </c>
      <c r="W46">
        <v>10</v>
      </c>
      <c r="X46">
        <v>1.5</v>
      </c>
      <c r="Y46">
        <v>10</v>
      </c>
      <c r="Z46">
        <v>1.5</v>
      </c>
      <c r="AA46">
        <v>3</v>
      </c>
      <c r="AB46">
        <v>1.5</v>
      </c>
      <c r="AC46">
        <v>10</v>
      </c>
      <c r="AD46">
        <v>3</v>
      </c>
      <c r="AE46">
        <v>1.5</v>
      </c>
      <c r="AF46">
        <v>1.5</v>
      </c>
      <c r="AG46">
        <v>3</v>
      </c>
      <c r="AH46">
        <v>1.5</v>
      </c>
      <c r="AI46">
        <v>0</v>
      </c>
      <c r="AJ46">
        <v>1.5</v>
      </c>
      <c r="AK46">
        <v>10</v>
      </c>
      <c r="AL46">
        <v>0</v>
      </c>
      <c r="AM46">
        <v>1.5</v>
      </c>
      <c r="AN46">
        <v>3</v>
      </c>
      <c r="AO46">
        <v>1.5</v>
      </c>
      <c r="AP46">
        <v>1.5</v>
      </c>
      <c r="AQ46">
        <v>1.5</v>
      </c>
      <c r="AR46">
        <v>0</v>
      </c>
      <c r="AS46">
        <v>3</v>
      </c>
      <c r="AT46">
        <v>10</v>
      </c>
      <c r="AU46">
        <v>10</v>
      </c>
      <c r="AV46">
        <v>1.5</v>
      </c>
      <c r="AW46">
        <v>10</v>
      </c>
      <c r="AX46">
        <v>1.5</v>
      </c>
      <c r="AY46">
        <v>1.5</v>
      </c>
      <c r="AZ46">
        <v>0</v>
      </c>
      <c r="BA46">
        <v>3</v>
      </c>
      <c r="BB46">
        <v>1.5</v>
      </c>
      <c r="BC46">
        <v>1.5</v>
      </c>
      <c r="BD46">
        <v>1.5</v>
      </c>
      <c r="BE46">
        <v>0</v>
      </c>
      <c r="BF46">
        <v>10</v>
      </c>
      <c r="BG46">
        <v>1.5</v>
      </c>
      <c r="BI46">
        <f t="shared" si="1"/>
        <v>1.5</v>
      </c>
      <c r="BJ46">
        <f t="shared" si="2"/>
        <v>0</v>
      </c>
      <c r="BK46">
        <f t="shared" si="3"/>
        <v>0</v>
      </c>
      <c r="BL46">
        <f t="shared" si="4"/>
        <v>0</v>
      </c>
      <c r="BM46">
        <f t="shared" si="5"/>
        <v>0</v>
      </c>
      <c r="BN46">
        <f t="shared" si="6"/>
        <v>0</v>
      </c>
      <c r="BO46">
        <f t="shared" si="7"/>
        <v>0</v>
      </c>
      <c r="BP46">
        <f t="shared" si="8"/>
        <v>3</v>
      </c>
      <c r="BQ46">
        <f t="shared" si="9"/>
        <v>1.5</v>
      </c>
      <c r="BR46">
        <f t="shared" si="10"/>
        <v>0</v>
      </c>
      <c r="BS46">
        <f t="shared" si="11"/>
        <v>0</v>
      </c>
      <c r="BT46">
        <f t="shared" si="12"/>
        <v>0</v>
      </c>
      <c r="BU46">
        <f t="shared" si="13"/>
        <v>0</v>
      </c>
      <c r="BV46">
        <f t="shared" si="14"/>
        <v>1.5</v>
      </c>
      <c r="BW46">
        <f t="shared" si="15"/>
        <v>1.5</v>
      </c>
      <c r="BX46">
        <f t="shared" si="16"/>
        <v>0</v>
      </c>
      <c r="BY46">
        <f t="shared" si="17"/>
        <v>1.5</v>
      </c>
      <c r="BZ46">
        <f t="shared" si="18"/>
        <v>0</v>
      </c>
      <c r="CA46">
        <f t="shared" si="19"/>
        <v>0</v>
      </c>
      <c r="CB46">
        <f t="shared" si="20"/>
        <v>1.5</v>
      </c>
      <c r="CC46">
        <f t="shared" si="21"/>
        <v>0</v>
      </c>
      <c r="CD46">
        <f t="shared" si="22"/>
        <v>0</v>
      </c>
      <c r="CE46">
        <f t="shared" si="23"/>
        <v>0</v>
      </c>
      <c r="CF46">
        <f t="shared" si="24"/>
        <v>0</v>
      </c>
      <c r="CG46">
        <f t="shared" si="25"/>
        <v>0</v>
      </c>
      <c r="CH46">
        <f t="shared" si="26"/>
        <v>0</v>
      </c>
      <c r="CI46">
        <f t="shared" si="27"/>
        <v>0</v>
      </c>
      <c r="CJ46">
        <f t="shared" si="28"/>
        <v>0</v>
      </c>
      <c r="CK46">
        <f t="shared" si="29"/>
        <v>0</v>
      </c>
      <c r="CL46">
        <f t="shared" si="30"/>
        <v>0</v>
      </c>
      <c r="CM46">
        <f t="shared" si="31"/>
        <v>0</v>
      </c>
      <c r="CN46">
        <f t="shared" si="32"/>
        <v>0</v>
      </c>
      <c r="CO46">
        <f t="shared" si="33"/>
        <v>0</v>
      </c>
      <c r="CP46">
        <f t="shared" si="34"/>
        <v>0</v>
      </c>
      <c r="CQ46">
        <f t="shared" si="35"/>
        <v>0</v>
      </c>
      <c r="CR46">
        <f t="shared" si="36"/>
        <v>0</v>
      </c>
      <c r="CS46">
        <f t="shared" si="37"/>
        <v>0</v>
      </c>
      <c r="CT46">
        <f t="shared" si="38"/>
        <v>0</v>
      </c>
      <c r="CU46">
        <f t="shared" si="39"/>
        <v>1.5</v>
      </c>
      <c r="CV46">
        <f t="shared" si="40"/>
        <v>0</v>
      </c>
      <c r="CW46">
        <f t="shared" si="41"/>
        <v>0</v>
      </c>
      <c r="CX46">
        <f t="shared" si="42"/>
        <v>0</v>
      </c>
      <c r="CY46">
        <f t="shared" si="43"/>
        <v>0</v>
      </c>
      <c r="CZ46">
        <f t="shared" si="44"/>
        <v>0</v>
      </c>
      <c r="DA46">
        <f t="shared" si="45"/>
        <v>0</v>
      </c>
      <c r="DB46">
        <f t="shared" si="46"/>
        <v>0</v>
      </c>
      <c r="DC46">
        <f t="shared" si="47"/>
        <v>0</v>
      </c>
      <c r="DD46">
        <f t="shared" si="48"/>
        <v>1.5</v>
      </c>
      <c r="DE46">
        <f t="shared" si="49"/>
        <v>0</v>
      </c>
      <c r="DF46">
        <f t="shared" si="50"/>
        <v>0</v>
      </c>
      <c r="DG46">
        <f t="shared" si="51"/>
        <v>3</v>
      </c>
      <c r="DH46">
        <f t="shared" si="52"/>
        <v>0</v>
      </c>
      <c r="DI46">
        <f t="shared" si="53"/>
        <v>0</v>
      </c>
      <c r="DJ46">
        <f t="shared" si="54"/>
        <v>0</v>
      </c>
      <c r="DK46">
        <f t="shared" si="55"/>
        <v>0</v>
      </c>
      <c r="DL46">
        <f t="shared" si="56"/>
        <v>0</v>
      </c>
      <c r="DM46">
        <f t="shared" si="57"/>
        <v>1.5</v>
      </c>
      <c r="DO46">
        <f t="shared" si="58"/>
        <v>19.5</v>
      </c>
    </row>
    <row r="47" spans="1:119" x14ac:dyDescent="0.35">
      <c r="A47" t="s">
        <v>54</v>
      </c>
      <c r="B47">
        <v>46</v>
      </c>
      <c r="C47" s="10">
        <v>3</v>
      </c>
      <c r="D47">
        <v>3</v>
      </c>
      <c r="E47">
        <v>1.5</v>
      </c>
      <c r="F47">
        <v>3</v>
      </c>
      <c r="G47">
        <v>0</v>
      </c>
      <c r="H47">
        <v>1.5</v>
      </c>
      <c r="I47">
        <v>10</v>
      </c>
      <c r="J47">
        <v>0</v>
      </c>
      <c r="K47">
        <v>10</v>
      </c>
      <c r="L47">
        <v>10</v>
      </c>
      <c r="M47">
        <v>1.5</v>
      </c>
      <c r="N47">
        <v>0</v>
      </c>
      <c r="O47">
        <v>10</v>
      </c>
      <c r="P47">
        <v>1.5</v>
      </c>
      <c r="Q47">
        <v>4.5</v>
      </c>
      <c r="R47">
        <v>0</v>
      </c>
      <c r="S47">
        <v>3</v>
      </c>
      <c r="T47">
        <v>1.5</v>
      </c>
      <c r="U47">
        <v>1.5</v>
      </c>
      <c r="V47">
        <v>3</v>
      </c>
      <c r="W47">
        <v>3</v>
      </c>
      <c r="X47">
        <v>3</v>
      </c>
      <c r="Y47">
        <v>3</v>
      </c>
      <c r="Z47">
        <v>1.5</v>
      </c>
      <c r="AA47">
        <v>10</v>
      </c>
      <c r="AB47">
        <v>3</v>
      </c>
      <c r="AC47">
        <v>1.5</v>
      </c>
      <c r="AD47">
        <v>1.5</v>
      </c>
      <c r="AE47">
        <v>10</v>
      </c>
      <c r="AF47">
        <v>10</v>
      </c>
      <c r="AG47">
        <v>3</v>
      </c>
      <c r="AH47">
        <v>1.5</v>
      </c>
      <c r="AI47">
        <v>0</v>
      </c>
      <c r="AJ47">
        <v>3</v>
      </c>
      <c r="AK47">
        <v>10</v>
      </c>
      <c r="AL47">
        <v>3</v>
      </c>
      <c r="AM47">
        <v>1.5</v>
      </c>
      <c r="AN47">
        <v>4.5</v>
      </c>
      <c r="AO47">
        <v>3</v>
      </c>
      <c r="AP47">
        <v>1.5</v>
      </c>
      <c r="AQ47">
        <v>3</v>
      </c>
      <c r="AR47">
        <v>1.5</v>
      </c>
      <c r="AS47">
        <v>1.5</v>
      </c>
      <c r="AT47">
        <v>1.5</v>
      </c>
      <c r="AU47">
        <v>1.5</v>
      </c>
      <c r="AV47">
        <v>10</v>
      </c>
      <c r="AW47">
        <v>3</v>
      </c>
      <c r="AX47">
        <v>3</v>
      </c>
      <c r="AY47">
        <v>3</v>
      </c>
      <c r="AZ47">
        <v>10</v>
      </c>
      <c r="BA47">
        <v>1.5</v>
      </c>
      <c r="BB47">
        <v>10</v>
      </c>
      <c r="BC47">
        <v>0</v>
      </c>
      <c r="BD47">
        <v>0</v>
      </c>
      <c r="BE47">
        <v>1.5</v>
      </c>
      <c r="BF47">
        <v>1.5</v>
      </c>
      <c r="BG47">
        <v>1.5</v>
      </c>
      <c r="BI47">
        <f t="shared" si="1"/>
        <v>3</v>
      </c>
      <c r="BJ47">
        <f t="shared" si="2"/>
        <v>0</v>
      </c>
      <c r="BK47">
        <f t="shared" si="3"/>
        <v>0</v>
      </c>
      <c r="BL47">
        <f t="shared" si="4"/>
        <v>3</v>
      </c>
      <c r="BM47">
        <f t="shared" si="5"/>
        <v>0</v>
      </c>
      <c r="BN47">
        <f t="shared" si="6"/>
        <v>0</v>
      </c>
      <c r="BO47">
        <f t="shared" si="7"/>
        <v>10</v>
      </c>
      <c r="BP47">
        <f t="shared" si="8"/>
        <v>0</v>
      </c>
      <c r="BQ47">
        <f t="shared" si="9"/>
        <v>10</v>
      </c>
      <c r="BR47">
        <f t="shared" si="10"/>
        <v>0</v>
      </c>
      <c r="BS47">
        <f t="shared" si="11"/>
        <v>0</v>
      </c>
      <c r="BT47">
        <f t="shared" si="12"/>
        <v>0</v>
      </c>
      <c r="BU47">
        <f t="shared" si="13"/>
        <v>0</v>
      </c>
      <c r="BV47">
        <f t="shared" si="14"/>
        <v>1.5</v>
      </c>
      <c r="BW47">
        <f t="shared" si="15"/>
        <v>4.5</v>
      </c>
      <c r="BX47">
        <f t="shared" si="16"/>
        <v>0</v>
      </c>
      <c r="BY47">
        <f t="shared" si="17"/>
        <v>3</v>
      </c>
      <c r="BZ47">
        <f t="shared" si="18"/>
        <v>1.5</v>
      </c>
      <c r="CA47">
        <f t="shared" si="19"/>
        <v>0</v>
      </c>
      <c r="CB47">
        <f t="shared" si="20"/>
        <v>3</v>
      </c>
      <c r="CC47">
        <f t="shared" si="21"/>
        <v>0</v>
      </c>
      <c r="CD47">
        <f t="shared" si="22"/>
        <v>0</v>
      </c>
      <c r="CE47">
        <f t="shared" si="23"/>
        <v>0</v>
      </c>
      <c r="CF47">
        <f t="shared" si="24"/>
        <v>0</v>
      </c>
      <c r="CG47">
        <f t="shared" si="25"/>
        <v>0</v>
      </c>
      <c r="CH47">
        <f t="shared" si="26"/>
        <v>0</v>
      </c>
      <c r="CI47">
        <f t="shared" si="27"/>
        <v>0</v>
      </c>
      <c r="CJ47">
        <f t="shared" si="28"/>
        <v>0</v>
      </c>
      <c r="CK47">
        <f t="shared" si="29"/>
        <v>0</v>
      </c>
      <c r="CL47">
        <f t="shared" si="30"/>
        <v>0</v>
      </c>
      <c r="CM47">
        <f t="shared" si="31"/>
        <v>0</v>
      </c>
      <c r="CN47">
        <f t="shared" si="32"/>
        <v>0</v>
      </c>
      <c r="CO47">
        <f t="shared" si="33"/>
        <v>0</v>
      </c>
      <c r="CP47">
        <f t="shared" si="34"/>
        <v>0</v>
      </c>
      <c r="CQ47">
        <f t="shared" si="35"/>
        <v>0</v>
      </c>
      <c r="CR47">
        <f t="shared" si="36"/>
        <v>0</v>
      </c>
      <c r="CS47">
        <f t="shared" si="37"/>
        <v>0</v>
      </c>
      <c r="CT47">
        <f t="shared" si="38"/>
        <v>0</v>
      </c>
      <c r="CU47">
        <f t="shared" si="39"/>
        <v>3</v>
      </c>
      <c r="CV47">
        <f t="shared" si="40"/>
        <v>0</v>
      </c>
      <c r="CW47">
        <f t="shared" si="41"/>
        <v>0</v>
      </c>
      <c r="CX47">
        <f t="shared" si="42"/>
        <v>1.5</v>
      </c>
      <c r="CY47">
        <f t="shared" si="43"/>
        <v>0</v>
      </c>
      <c r="CZ47">
        <f t="shared" si="44"/>
        <v>0</v>
      </c>
      <c r="DA47">
        <f t="shared" si="45"/>
        <v>0</v>
      </c>
      <c r="DB47">
        <f t="shared" si="46"/>
        <v>0</v>
      </c>
      <c r="DC47">
        <f t="shared" si="47"/>
        <v>0</v>
      </c>
      <c r="DD47">
        <f t="shared" si="48"/>
        <v>3</v>
      </c>
      <c r="DE47">
        <f t="shared" si="49"/>
        <v>0</v>
      </c>
      <c r="DF47">
        <f t="shared" si="50"/>
        <v>0</v>
      </c>
      <c r="DG47">
        <f t="shared" si="51"/>
        <v>1.5</v>
      </c>
      <c r="DH47">
        <f t="shared" si="52"/>
        <v>0</v>
      </c>
      <c r="DI47">
        <f t="shared" si="53"/>
        <v>0</v>
      </c>
      <c r="DJ47">
        <f t="shared" si="54"/>
        <v>0</v>
      </c>
      <c r="DK47">
        <f t="shared" si="55"/>
        <v>1.5</v>
      </c>
      <c r="DL47">
        <f t="shared" si="56"/>
        <v>0</v>
      </c>
      <c r="DM47">
        <f t="shared" si="57"/>
        <v>1.5</v>
      </c>
      <c r="DO47">
        <f t="shared" si="58"/>
        <v>51.5</v>
      </c>
    </row>
    <row r="48" spans="1:119" x14ac:dyDescent="0.35">
      <c r="A48" t="s">
        <v>70</v>
      </c>
      <c r="B48">
        <v>47</v>
      </c>
      <c r="C48" s="10">
        <v>0</v>
      </c>
      <c r="D48">
        <v>3</v>
      </c>
      <c r="E48">
        <v>0</v>
      </c>
      <c r="F48">
        <v>0</v>
      </c>
      <c r="G48">
        <v>1.5</v>
      </c>
      <c r="H48">
        <v>0</v>
      </c>
      <c r="I48">
        <v>1.5</v>
      </c>
      <c r="J48">
        <v>1.5</v>
      </c>
      <c r="K48">
        <v>4.5</v>
      </c>
      <c r="L48">
        <v>1.5</v>
      </c>
      <c r="M48">
        <v>0</v>
      </c>
      <c r="N48">
        <v>1.5</v>
      </c>
      <c r="O48">
        <v>3</v>
      </c>
      <c r="P48">
        <v>0</v>
      </c>
      <c r="Q48">
        <v>4.5</v>
      </c>
      <c r="R48">
        <v>1.5</v>
      </c>
      <c r="S48">
        <v>1.5</v>
      </c>
      <c r="T48">
        <v>0</v>
      </c>
      <c r="U48">
        <v>1.5</v>
      </c>
      <c r="V48">
        <v>0</v>
      </c>
      <c r="W48">
        <v>10</v>
      </c>
      <c r="X48">
        <v>0</v>
      </c>
      <c r="Y48">
        <v>10</v>
      </c>
      <c r="Z48">
        <v>1.5</v>
      </c>
      <c r="AA48">
        <v>1.5</v>
      </c>
      <c r="AB48">
        <v>10</v>
      </c>
      <c r="AC48">
        <v>10</v>
      </c>
      <c r="AD48">
        <v>1.5</v>
      </c>
      <c r="AE48">
        <v>10</v>
      </c>
      <c r="AF48">
        <v>1.5</v>
      </c>
      <c r="AG48">
        <v>1.5</v>
      </c>
      <c r="AH48">
        <v>0</v>
      </c>
      <c r="AI48">
        <v>0</v>
      </c>
      <c r="AJ48">
        <v>4.5</v>
      </c>
      <c r="AK48">
        <v>10</v>
      </c>
      <c r="AL48">
        <v>3</v>
      </c>
      <c r="AM48">
        <v>3</v>
      </c>
      <c r="AN48">
        <v>1.5</v>
      </c>
      <c r="AO48">
        <v>0</v>
      </c>
      <c r="AP48">
        <v>1.5</v>
      </c>
      <c r="AQ48">
        <v>10</v>
      </c>
      <c r="AR48">
        <v>0</v>
      </c>
      <c r="AS48">
        <v>0</v>
      </c>
      <c r="AT48">
        <v>1.5</v>
      </c>
      <c r="AU48">
        <v>10</v>
      </c>
      <c r="AV48">
        <v>3</v>
      </c>
      <c r="AW48">
        <v>10</v>
      </c>
      <c r="AX48">
        <v>1.5</v>
      </c>
      <c r="AY48">
        <v>0</v>
      </c>
      <c r="AZ48">
        <v>1.5</v>
      </c>
      <c r="BA48">
        <v>1.5</v>
      </c>
      <c r="BB48">
        <v>3</v>
      </c>
      <c r="BC48">
        <v>0</v>
      </c>
      <c r="BD48">
        <v>0</v>
      </c>
      <c r="BE48">
        <v>0</v>
      </c>
      <c r="BF48">
        <v>10</v>
      </c>
      <c r="BG48">
        <v>1.5</v>
      </c>
      <c r="BI48">
        <f t="shared" si="1"/>
        <v>0</v>
      </c>
      <c r="BJ48">
        <f t="shared" si="2"/>
        <v>0</v>
      </c>
      <c r="BK48">
        <f t="shared" si="3"/>
        <v>0</v>
      </c>
      <c r="BL48">
        <f t="shared" si="4"/>
        <v>0</v>
      </c>
      <c r="BM48">
        <f t="shared" si="5"/>
        <v>0</v>
      </c>
      <c r="BN48">
        <f t="shared" si="6"/>
        <v>0</v>
      </c>
      <c r="BO48">
        <f t="shared" si="7"/>
        <v>1.5</v>
      </c>
      <c r="BP48">
        <f t="shared" si="8"/>
        <v>1.5</v>
      </c>
      <c r="BQ48">
        <f t="shared" si="9"/>
        <v>4.5</v>
      </c>
      <c r="BR48">
        <f t="shared" si="10"/>
        <v>0</v>
      </c>
      <c r="BS48">
        <f t="shared" si="11"/>
        <v>0</v>
      </c>
      <c r="BT48">
        <f t="shared" si="12"/>
        <v>0</v>
      </c>
      <c r="BU48">
        <f t="shared" si="13"/>
        <v>0</v>
      </c>
      <c r="BV48">
        <f t="shared" si="14"/>
        <v>0</v>
      </c>
      <c r="BW48">
        <f t="shared" si="15"/>
        <v>4.5</v>
      </c>
      <c r="BX48">
        <f t="shared" si="16"/>
        <v>0</v>
      </c>
      <c r="BY48">
        <f t="shared" si="17"/>
        <v>1.5</v>
      </c>
      <c r="BZ48">
        <f t="shared" si="18"/>
        <v>0</v>
      </c>
      <c r="CA48">
        <f t="shared" si="19"/>
        <v>0</v>
      </c>
      <c r="CB48">
        <f t="shared" si="20"/>
        <v>0</v>
      </c>
      <c r="CC48">
        <f t="shared" si="21"/>
        <v>0</v>
      </c>
      <c r="CD48">
        <f t="shared" si="22"/>
        <v>0</v>
      </c>
      <c r="CE48">
        <f t="shared" si="23"/>
        <v>0</v>
      </c>
      <c r="CF48">
        <f t="shared" si="24"/>
        <v>0</v>
      </c>
      <c r="CG48">
        <f t="shared" si="25"/>
        <v>0</v>
      </c>
      <c r="CH48">
        <f t="shared" si="26"/>
        <v>0</v>
      </c>
      <c r="CI48">
        <f t="shared" si="27"/>
        <v>0</v>
      </c>
      <c r="CJ48">
        <f t="shared" si="28"/>
        <v>0</v>
      </c>
      <c r="CK48">
        <f t="shared" si="29"/>
        <v>0</v>
      </c>
      <c r="CL48">
        <f t="shared" si="30"/>
        <v>0</v>
      </c>
      <c r="CM48">
        <f t="shared" si="31"/>
        <v>0</v>
      </c>
      <c r="CN48">
        <f t="shared" si="32"/>
        <v>0</v>
      </c>
      <c r="CO48">
        <f t="shared" si="33"/>
        <v>0</v>
      </c>
      <c r="CP48">
        <f t="shared" si="34"/>
        <v>0</v>
      </c>
      <c r="CQ48">
        <f t="shared" si="35"/>
        <v>0</v>
      </c>
      <c r="CR48">
        <f t="shared" si="36"/>
        <v>0</v>
      </c>
      <c r="CS48">
        <f t="shared" si="37"/>
        <v>0</v>
      </c>
      <c r="CT48">
        <f t="shared" si="38"/>
        <v>0</v>
      </c>
      <c r="CU48">
        <f t="shared" si="39"/>
        <v>0</v>
      </c>
      <c r="CV48">
        <f t="shared" si="40"/>
        <v>0</v>
      </c>
      <c r="CW48">
        <f t="shared" si="41"/>
        <v>0</v>
      </c>
      <c r="CX48">
        <f t="shared" si="42"/>
        <v>0</v>
      </c>
      <c r="CY48">
        <f t="shared" si="43"/>
        <v>0</v>
      </c>
      <c r="CZ48">
        <f t="shared" si="44"/>
        <v>0</v>
      </c>
      <c r="DA48">
        <f t="shared" si="45"/>
        <v>0</v>
      </c>
      <c r="DB48">
        <f t="shared" si="46"/>
        <v>0</v>
      </c>
      <c r="DC48">
        <f t="shared" si="47"/>
        <v>0</v>
      </c>
      <c r="DD48">
        <f t="shared" si="48"/>
        <v>1.5</v>
      </c>
      <c r="DE48">
        <f t="shared" si="49"/>
        <v>0</v>
      </c>
      <c r="DF48">
        <f t="shared" si="50"/>
        <v>0</v>
      </c>
      <c r="DG48">
        <f t="shared" si="51"/>
        <v>1.5</v>
      </c>
      <c r="DH48">
        <f t="shared" si="52"/>
        <v>0</v>
      </c>
      <c r="DI48">
        <f t="shared" si="53"/>
        <v>0</v>
      </c>
      <c r="DJ48">
        <f t="shared" si="54"/>
        <v>0</v>
      </c>
      <c r="DK48">
        <f t="shared" si="55"/>
        <v>0</v>
      </c>
      <c r="DL48">
        <f t="shared" si="56"/>
        <v>0</v>
      </c>
      <c r="DM48">
        <f t="shared" si="57"/>
        <v>1.5</v>
      </c>
      <c r="DO48">
        <f t="shared" si="58"/>
        <v>18</v>
      </c>
    </row>
    <row r="49" spans="1:119" x14ac:dyDescent="0.35">
      <c r="A49" t="s">
        <v>55</v>
      </c>
      <c r="B49">
        <v>48</v>
      </c>
      <c r="C49" s="10">
        <v>1.5</v>
      </c>
      <c r="D49">
        <v>6</v>
      </c>
      <c r="E49">
        <v>3</v>
      </c>
      <c r="F49">
        <v>10</v>
      </c>
      <c r="G49">
        <v>1.5</v>
      </c>
      <c r="H49">
        <v>3</v>
      </c>
      <c r="I49">
        <v>3</v>
      </c>
      <c r="J49">
        <v>0</v>
      </c>
      <c r="K49">
        <v>10</v>
      </c>
      <c r="L49">
        <v>3</v>
      </c>
      <c r="M49">
        <v>3</v>
      </c>
      <c r="N49">
        <v>0</v>
      </c>
      <c r="O49">
        <v>1.5</v>
      </c>
      <c r="P49">
        <v>10</v>
      </c>
      <c r="Q49">
        <v>10</v>
      </c>
      <c r="R49">
        <v>1.5</v>
      </c>
      <c r="S49">
        <v>10</v>
      </c>
      <c r="T49">
        <v>1.5</v>
      </c>
      <c r="U49">
        <v>1.5</v>
      </c>
      <c r="V49">
        <v>1.5</v>
      </c>
      <c r="W49">
        <v>10</v>
      </c>
      <c r="X49">
        <v>3</v>
      </c>
      <c r="Y49">
        <v>1.5</v>
      </c>
      <c r="Z49">
        <v>10</v>
      </c>
      <c r="AA49">
        <v>1.5</v>
      </c>
      <c r="AB49">
        <v>4.5</v>
      </c>
      <c r="AC49">
        <v>1.5</v>
      </c>
      <c r="AD49">
        <v>0</v>
      </c>
      <c r="AE49">
        <v>1.5</v>
      </c>
      <c r="AF49">
        <v>3</v>
      </c>
      <c r="AG49">
        <v>10</v>
      </c>
      <c r="AH49">
        <v>1.5</v>
      </c>
      <c r="AI49">
        <v>1.5</v>
      </c>
      <c r="AJ49">
        <v>10</v>
      </c>
      <c r="AK49">
        <v>3</v>
      </c>
      <c r="AL49">
        <v>6</v>
      </c>
      <c r="AM49">
        <v>6</v>
      </c>
      <c r="AN49">
        <v>1.5</v>
      </c>
      <c r="AO49">
        <v>3</v>
      </c>
      <c r="AP49">
        <v>3</v>
      </c>
      <c r="AQ49">
        <v>4.5</v>
      </c>
      <c r="AR49">
        <v>10</v>
      </c>
      <c r="AS49">
        <v>3</v>
      </c>
      <c r="AT49">
        <v>0</v>
      </c>
      <c r="AU49">
        <v>1.5</v>
      </c>
      <c r="AV49">
        <v>3</v>
      </c>
      <c r="AW49">
        <v>1.5</v>
      </c>
      <c r="AX49">
        <v>10</v>
      </c>
      <c r="AY49">
        <v>1.5</v>
      </c>
      <c r="AZ49">
        <v>3</v>
      </c>
      <c r="BA49">
        <v>1.5</v>
      </c>
      <c r="BB49">
        <v>10</v>
      </c>
      <c r="BC49">
        <v>3</v>
      </c>
      <c r="BD49">
        <v>1.5</v>
      </c>
      <c r="BE49">
        <v>3</v>
      </c>
      <c r="BF49">
        <v>3</v>
      </c>
      <c r="BG49">
        <v>10</v>
      </c>
      <c r="BI49">
        <f t="shared" si="1"/>
        <v>1.5</v>
      </c>
      <c r="BJ49">
        <f t="shared" si="2"/>
        <v>0</v>
      </c>
      <c r="BK49">
        <f t="shared" si="3"/>
        <v>0</v>
      </c>
      <c r="BL49">
        <f t="shared" si="4"/>
        <v>10</v>
      </c>
      <c r="BM49">
        <f t="shared" si="5"/>
        <v>0</v>
      </c>
      <c r="BN49">
        <f t="shared" si="6"/>
        <v>0</v>
      </c>
      <c r="BO49">
        <f t="shared" si="7"/>
        <v>3</v>
      </c>
      <c r="BP49">
        <f t="shared" si="8"/>
        <v>0</v>
      </c>
      <c r="BQ49">
        <f t="shared" si="9"/>
        <v>10</v>
      </c>
      <c r="BR49">
        <f t="shared" si="10"/>
        <v>0</v>
      </c>
      <c r="BS49">
        <f t="shared" si="11"/>
        <v>0</v>
      </c>
      <c r="BT49">
        <f t="shared" si="12"/>
        <v>0</v>
      </c>
      <c r="BU49">
        <f t="shared" si="13"/>
        <v>0</v>
      </c>
      <c r="BV49">
        <f t="shared" si="14"/>
        <v>10</v>
      </c>
      <c r="BW49">
        <f t="shared" si="15"/>
        <v>10</v>
      </c>
      <c r="BX49">
        <f t="shared" si="16"/>
        <v>0</v>
      </c>
      <c r="BY49">
        <f t="shared" si="17"/>
        <v>10</v>
      </c>
      <c r="BZ49">
        <f t="shared" si="18"/>
        <v>1.5</v>
      </c>
      <c r="CA49">
        <f t="shared" si="19"/>
        <v>0</v>
      </c>
      <c r="CB49">
        <f t="shared" si="20"/>
        <v>1.5</v>
      </c>
      <c r="CC49">
        <f t="shared" si="21"/>
        <v>0</v>
      </c>
      <c r="CD49">
        <f t="shared" si="22"/>
        <v>0</v>
      </c>
      <c r="CE49">
        <f t="shared" si="23"/>
        <v>0</v>
      </c>
      <c r="CF49">
        <f t="shared" si="24"/>
        <v>0</v>
      </c>
      <c r="CG49">
        <f t="shared" si="25"/>
        <v>0</v>
      </c>
      <c r="CH49">
        <f t="shared" si="26"/>
        <v>0</v>
      </c>
      <c r="CI49">
        <f t="shared" si="27"/>
        <v>0</v>
      </c>
      <c r="CJ49">
        <f t="shared" si="28"/>
        <v>0</v>
      </c>
      <c r="CK49">
        <f t="shared" si="29"/>
        <v>0</v>
      </c>
      <c r="CL49">
        <f t="shared" si="30"/>
        <v>0</v>
      </c>
      <c r="CM49">
        <f t="shared" si="31"/>
        <v>0</v>
      </c>
      <c r="CN49">
        <f t="shared" si="32"/>
        <v>0</v>
      </c>
      <c r="CO49">
        <f t="shared" si="33"/>
        <v>0</v>
      </c>
      <c r="CP49">
        <f t="shared" si="34"/>
        <v>0</v>
      </c>
      <c r="CQ49">
        <f t="shared" si="35"/>
        <v>0</v>
      </c>
      <c r="CR49">
        <f t="shared" si="36"/>
        <v>0</v>
      </c>
      <c r="CS49">
        <f t="shared" si="37"/>
        <v>0</v>
      </c>
      <c r="CT49">
        <f t="shared" si="38"/>
        <v>0</v>
      </c>
      <c r="CU49">
        <f t="shared" si="39"/>
        <v>3</v>
      </c>
      <c r="CV49">
        <f t="shared" si="40"/>
        <v>0</v>
      </c>
      <c r="CW49">
        <f t="shared" si="41"/>
        <v>0</v>
      </c>
      <c r="CX49">
        <f t="shared" si="42"/>
        <v>10</v>
      </c>
      <c r="CY49">
        <f t="shared" si="43"/>
        <v>0</v>
      </c>
      <c r="CZ49">
        <f t="shared" si="44"/>
        <v>0</v>
      </c>
      <c r="DA49">
        <f t="shared" si="45"/>
        <v>0</v>
      </c>
      <c r="DB49">
        <f t="shared" si="46"/>
        <v>0</v>
      </c>
      <c r="DC49">
        <f t="shared" si="47"/>
        <v>0</v>
      </c>
      <c r="DD49">
        <f t="shared" si="48"/>
        <v>10</v>
      </c>
      <c r="DE49">
        <f t="shared" si="49"/>
        <v>0</v>
      </c>
      <c r="DF49">
        <f t="shared" si="50"/>
        <v>0</v>
      </c>
      <c r="DG49">
        <f t="shared" si="51"/>
        <v>1.5</v>
      </c>
      <c r="DH49">
        <f t="shared" si="52"/>
        <v>0</v>
      </c>
      <c r="DI49">
        <f t="shared" si="53"/>
        <v>0</v>
      </c>
      <c r="DJ49">
        <f t="shared" si="54"/>
        <v>0</v>
      </c>
      <c r="DK49">
        <f t="shared" si="55"/>
        <v>3</v>
      </c>
      <c r="DL49">
        <f t="shared" si="56"/>
        <v>0</v>
      </c>
      <c r="DM49">
        <f t="shared" si="57"/>
        <v>10</v>
      </c>
      <c r="DO49">
        <f t="shared" si="58"/>
        <v>95</v>
      </c>
    </row>
    <row r="50" spans="1:119" x14ac:dyDescent="0.35">
      <c r="A50" t="s">
        <v>56</v>
      </c>
      <c r="B50">
        <v>49</v>
      </c>
      <c r="C50" s="10">
        <v>10</v>
      </c>
      <c r="D50">
        <v>10</v>
      </c>
      <c r="E50">
        <v>10</v>
      </c>
      <c r="F50">
        <v>10</v>
      </c>
      <c r="G50">
        <v>1.5</v>
      </c>
      <c r="H50">
        <v>1.5</v>
      </c>
      <c r="I50">
        <v>4.5</v>
      </c>
      <c r="J50">
        <v>1.5</v>
      </c>
      <c r="K50">
        <v>4.5</v>
      </c>
      <c r="L50">
        <v>1.5</v>
      </c>
      <c r="M50">
        <v>0</v>
      </c>
      <c r="N50">
        <v>1.5</v>
      </c>
      <c r="O50">
        <v>3</v>
      </c>
      <c r="P50">
        <v>1.5</v>
      </c>
      <c r="Q50">
        <v>4.5</v>
      </c>
      <c r="R50">
        <v>1.5</v>
      </c>
      <c r="S50">
        <v>1.5</v>
      </c>
      <c r="T50">
        <v>3</v>
      </c>
      <c r="U50">
        <v>1.5</v>
      </c>
      <c r="V50">
        <v>10</v>
      </c>
      <c r="W50">
        <v>0</v>
      </c>
      <c r="X50">
        <v>0</v>
      </c>
      <c r="Y50">
        <v>1.5</v>
      </c>
      <c r="Z50">
        <v>1.5</v>
      </c>
      <c r="AA50">
        <v>10</v>
      </c>
      <c r="AB50">
        <v>1.5</v>
      </c>
      <c r="AC50">
        <v>1.5</v>
      </c>
      <c r="AD50">
        <v>10</v>
      </c>
      <c r="AE50">
        <v>1.5</v>
      </c>
      <c r="AF50">
        <v>3</v>
      </c>
      <c r="AG50">
        <v>0</v>
      </c>
      <c r="AH50">
        <v>0</v>
      </c>
      <c r="AI50">
        <v>0</v>
      </c>
      <c r="AJ50">
        <v>1.5</v>
      </c>
      <c r="AK50">
        <v>1.5</v>
      </c>
      <c r="AL50">
        <v>1.5</v>
      </c>
      <c r="AM50">
        <v>1.5</v>
      </c>
      <c r="AN50">
        <v>10</v>
      </c>
      <c r="AO50">
        <v>3</v>
      </c>
      <c r="AP50">
        <v>3</v>
      </c>
      <c r="AQ50">
        <v>1.5</v>
      </c>
      <c r="AR50">
        <v>1.5</v>
      </c>
      <c r="AS50">
        <v>0</v>
      </c>
      <c r="AT50">
        <v>10</v>
      </c>
      <c r="AU50">
        <v>1.5</v>
      </c>
      <c r="AV50">
        <v>3</v>
      </c>
      <c r="AW50">
        <v>0</v>
      </c>
      <c r="AX50">
        <v>1.5</v>
      </c>
      <c r="AY50">
        <v>10</v>
      </c>
      <c r="AZ50">
        <v>10</v>
      </c>
      <c r="BA50">
        <v>10</v>
      </c>
      <c r="BB50">
        <v>1.5</v>
      </c>
      <c r="BC50">
        <v>1.5</v>
      </c>
      <c r="BD50">
        <v>0</v>
      </c>
      <c r="BE50">
        <v>4.5</v>
      </c>
      <c r="BF50">
        <v>1.5</v>
      </c>
      <c r="BG50">
        <v>3</v>
      </c>
      <c r="BI50">
        <f t="shared" si="1"/>
        <v>10</v>
      </c>
      <c r="BJ50">
        <f t="shared" si="2"/>
        <v>0</v>
      </c>
      <c r="BK50">
        <f t="shared" si="3"/>
        <v>0</v>
      </c>
      <c r="BL50">
        <f t="shared" si="4"/>
        <v>10</v>
      </c>
      <c r="BM50">
        <f t="shared" si="5"/>
        <v>0</v>
      </c>
      <c r="BN50">
        <f t="shared" si="6"/>
        <v>0</v>
      </c>
      <c r="BO50">
        <f t="shared" si="7"/>
        <v>4.5</v>
      </c>
      <c r="BP50">
        <f t="shared" si="8"/>
        <v>1.5</v>
      </c>
      <c r="BQ50">
        <f t="shared" si="9"/>
        <v>4.5</v>
      </c>
      <c r="BR50">
        <f t="shared" si="10"/>
        <v>0</v>
      </c>
      <c r="BS50">
        <f t="shared" si="11"/>
        <v>0</v>
      </c>
      <c r="BT50">
        <f t="shared" si="12"/>
        <v>0</v>
      </c>
      <c r="BU50">
        <f t="shared" si="13"/>
        <v>0</v>
      </c>
      <c r="BV50">
        <f t="shared" si="14"/>
        <v>1.5</v>
      </c>
      <c r="BW50">
        <f t="shared" si="15"/>
        <v>4.5</v>
      </c>
      <c r="BX50">
        <f t="shared" si="16"/>
        <v>0</v>
      </c>
      <c r="BY50">
        <f t="shared" si="17"/>
        <v>1.5</v>
      </c>
      <c r="BZ50">
        <f t="shared" si="18"/>
        <v>3</v>
      </c>
      <c r="CA50">
        <f t="shared" si="19"/>
        <v>0</v>
      </c>
      <c r="CB50">
        <f t="shared" si="20"/>
        <v>10</v>
      </c>
      <c r="CC50">
        <f t="shared" si="21"/>
        <v>0</v>
      </c>
      <c r="CD50">
        <f t="shared" si="22"/>
        <v>0</v>
      </c>
      <c r="CE50">
        <f t="shared" si="23"/>
        <v>0</v>
      </c>
      <c r="CF50">
        <f t="shared" si="24"/>
        <v>0</v>
      </c>
      <c r="CG50">
        <f t="shared" si="25"/>
        <v>0</v>
      </c>
      <c r="CH50">
        <f t="shared" si="26"/>
        <v>0</v>
      </c>
      <c r="CI50">
        <f t="shared" si="27"/>
        <v>0</v>
      </c>
      <c r="CJ50">
        <f t="shared" si="28"/>
        <v>0</v>
      </c>
      <c r="CK50">
        <f t="shared" si="29"/>
        <v>0</v>
      </c>
      <c r="CL50">
        <f t="shared" si="30"/>
        <v>0</v>
      </c>
      <c r="CM50">
        <f t="shared" si="31"/>
        <v>0</v>
      </c>
      <c r="CN50">
        <f t="shared" si="32"/>
        <v>0</v>
      </c>
      <c r="CO50">
        <f t="shared" si="33"/>
        <v>0</v>
      </c>
      <c r="CP50">
        <f t="shared" si="34"/>
        <v>0</v>
      </c>
      <c r="CQ50">
        <f t="shared" si="35"/>
        <v>0</v>
      </c>
      <c r="CR50">
        <f t="shared" si="36"/>
        <v>0</v>
      </c>
      <c r="CS50">
        <f t="shared" si="37"/>
        <v>0</v>
      </c>
      <c r="CT50">
        <f t="shared" si="38"/>
        <v>0</v>
      </c>
      <c r="CU50">
        <f t="shared" si="39"/>
        <v>3</v>
      </c>
      <c r="CV50">
        <f t="shared" si="40"/>
        <v>0</v>
      </c>
      <c r="CW50">
        <f t="shared" si="41"/>
        <v>0</v>
      </c>
      <c r="CX50">
        <f t="shared" si="42"/>
        <v>1.5</v>
      </c>
      <c r="CY50">
        <f t="shared" si="43"/>
        <v>0</v>
      </c>
      <c r="CZ50">
        <f t="shared" si="44"/>
        <v>0</v>
      </c>
      <c r="DA50">
        <f t="shared" si="45"/>
        <v>0</v>
      </c>
      <c r="DB50">
        <f t="shared" si="46"/>
        <v>0</v>
      </c>
      <c r="DC50">
        <f t="shared" si="47"/>
        <v>0</v>
      </c>
      <c r="DD50">
        <f t="shared" si="48"/>
        <v>1.5</v>
      </c>
      <c r="DE50">
        <f t="shared" si="49"/>
        <v>0</v>
      </c>
      <c r="DF50">
        <f t="shared" si="50"/>
        <v>0</v>
      </c>
      <c r="DG50">
        <f t="shared" si="51"/>
        <v>10</v>
      </c>
      <c r="DH50">
        <f t="shared" si="52"/>
        <v>0</v>
      </c>
      <c r="DI50">
        <f t="shared" si="53"/>
        <v>0</v>
      </c>
      <c r="DJ50">
        <f t="shared" si="54"/>
        <v>0</v>
      </c>
      <c r="DK50">
        <f t="shared" si="55"/>
        <v>4.5</v>
      </c>
      <c r="DL50">
        <f t="shared" si="56"/>
        <v>0</v>
      </c>
      <c r="DM50">
        <f t="shared" si="57"/>
        <v>3</v>
      </c>
      <c r="DO50">
        <f t="shared" si="58"/>
        <v>74.5</v>
      </c>
    </row>
    <row r="51" spans="1:119" x14ac:dyDescent="0.35">
      <c r="A51" t="s">
        <v>57</v>
      </c>
      <c r="B51">
        <v>50</v>
      </c>
      <c r="C51" s="10">
        <v>3</v>
      </c>
      <c r="D51">
        <v>10</v>
      </c>
      <c r="E51">
        <v>10</v>
      </c>
      <c r="F51">
        <v>10</v>
      </c>
      <c r="G51">
        <v>0</v>
      </c>
      <c r="H51">
        <v>3</v>
      </c>
      <c r="I51">
        <v>10</v>
      </c>
      <c r="J51">
        <v>0</v>
      </c>
      <c r="K51">
        <v>4.5</v>
      </c>
      <c r="L51">
        <v>1.5</v>
      </c>
      <c r="M51">
        <v>0</v>
      </c>
      <c r="N51">
        <v>0</v>
      </c>
      <c r="O51">
        <v>10</v>
      </c>
      <c r="P51">
        <v>1.5</v>
      </c>
      <c r="Q51">
        <v>4.5</v>
      </c>
      <c r="R51">
        <v>0</v>
      </c>
      <c r="S51">
        <v>1.5</v>
      </c>
      <c r="T51">
        <v>1.5</v>
      </c>
      <c r="U51">
        <v>0</v>
      </c>
      <c r="V51">
        <v>3</v>
      </c>
      <c r="W51">
        <v>1.5</v>
      </c>
      <c r="X51">
        <v>1.5</v>
      </c>
      <c r="Y51">
        <v>1.5</v>
      </c>
      <c r="Z51">
        <v>3</v>
      </c>
      <c r="AA51">
        <v>3</v>
      </c>
      <c r="AB51">
        <v>3</v>
      </c>
      <c r="AC51">
        <v>0</v>
      </c>
      <c r="AD51">
        <v>1.5</v>
      </c>
      <c r="AE51">
        <v>10</v>
      </c>
      <c r="AF51">
        <v>1.5</v>
      </c>
      <c r="AG51">
        <v>1.5</v>
      </c>
      <c r="AH51">
        <v>1.5</v>
      </c>
      <c r="AI51">
        <v>0</v>
      </c>
      <c r="AJ51">
        <v>3</v>
      </c>
      <c r="AK51">
        <v>1.5</v>
      </c>
      <c r="AL51">
        <v>3</v>
      </c>
      <c r="AM51">
        <v>1.5</v>
      </c>
      <c r="AN51">
        <v>3</v>
      </c>
      <c r="AO51">
        <v>1.5</v>
      </c>
      <c r="AP51">
        <v>3</v>
      </c>
      <c r="AQ51">
        <v>3</v>
      </c>
      <c r="AR51">
        <v>1.5</v>
      </c>
      <c r="AS51">
        <v>0</v>
      </c>
      <c r="AT51">
        <v>1.5</v>
      </c>
      <c r="AU51">
        <v>0</v>
      </c>
      <c r="AV51">
        <v>10</v>
      </c>
      <c r="AW51">
        <v>1.5</v>
      </c>
      <c r="AX51">
        <v>3</v>
      </c>
      <c r="AY51">
        <v>10</v>
      </c>
      <c r="AZ51">
        <v>10</v>
      </c>
      <c r="BA51">
        <v>1.5</v>
      </c>
      <c r="BB51">
        <v>10</v>
      </c>
      <c r="BC51">
        <v>1.5</v>
      </c>
      <c r="BD51">
        <v>0</v>
      </c>
      <c r="BE51">
        <v>3</v>
      </c>
      <c r="BF51">
        <v>0</v>
      </c>
      <c r="BG51">
        <v>1.5</v>
      </c>
      <c r="BI51">
        <f t="shared" si="1"/>
        <v>3</v>
      </c>
      <c r="BJ51">
        <f t="shared" si="2"/>
        <v>0</v>
      </c>
      <c r="BK51">
        <f t="shared" si="3"/>
        <v>0</v>
      </c>
      <c r="BL51">
        <f t="shared" si="4"/>
        <v>10</v>
      </c>
      <c r="BM51">
        <f t="shared" si="5"/>
        <v>0</v>
      </c>
      <c r="BN51">
        <f t="shared" si="6"/>
        <v>0</v>
      </c>
      <c r="BO51">
        <f t="shared" si="7"/>
        <v>10</v>
      </c>
      <c r="BP51">
        <f t="shared" si="8"/>
        <v>0</v>
      </c>
      <c r="BQ51">
        <f t="shared" si="9"/>
        <v>4.5</v>
      </c>
      <c r="BR51">
        <f t="shared" si="10"/>
        <v>0</v>
      </c>
      <c r="BS51">
        <f t="shared" si="11"/>
        <v>0</v>
      </c>
      <c r="BT51">
        <f t="shared" si="12"/>
        <v>0</v>
      </c>
      <c r="BU51">
        <f t="shared" si="13"/>
        <v>0</v>
      </c>
      <c r="BV51">
        <f t="shared" si="14"/>
        <v>1.5</v>
      </c>
      <c r="BW51">
        <f t="shared" si="15"/>
        <v>4.5</v>
      </c>
      <c r="BX51">
        <f t="shared" si="16"/>
        <v>0</v>
      </c>
      <c r="BY51">
        <f t="shared" si="17"/>
        <v>1.5</v>
      </c>
      <c r="BZ51">
        <f t="shared" si="18"/>
        <v>1.5</v>
      </c>
      <c r="CA51">
        <f t="shared" si="19"/>
        <v>0</v>
      </c>
      <c r="CB51">
        <f t="shared" si="20"/>
        <v>3</v>
      </c>
      <c r="CC51">
        <f t="shared" si="21"/>
        <v>0</v>
      </c>
      <c r="CD51">
        <f t="shared" si="22"/>
        <v>0</v>
      </c>
      <c r="CE51">
        <f t="shared" si="23"/>
        <v>0</v>
      </c>
      <c r="CF51">
        <f t="shared" si="24"/>
        <v>0</v>
      </c>
      <c r="CG51">
        <f t="shared" si="25"/>
        <v>0</v>
      </c>
      <c r="CH51">
        <f t="shared" si="26"/>
        <v>0</v>
      </c>
      <c r="CI51">
        <f t="shared" si="27"/>
        <v>0</v>
      </c>
      <c r="CJ51">
        <f t="shared" si="28"/>
        <v>0</v>
      </c>
      <c r="CK51">
        <f t="shared" si="29"/>
        <v>0</v>
      </c>
      <c r="CL51">
        <f t="shared" si="30"/>
        <v>0</v>
      </c>
      <c r="CM51">
        <f t="shared" si="31"/>
        <v>0</v>
      </c>
      <c r="CN51">
        <f t="shared" si="32"/>
        <v>0</v>
      </c>
      <c r="CO51">
        <f t="shared" si="33"/>
        <v>0</v>
      </c>
      <c r="CP51">
        <f t="shared" si="34"/>
        <v>0</v>
      </c>
      <c r="CQ51">
        <f t="shared" si="35"/>
        <v>0</v>
      </c>
      <c r="CR51">
        <f t="shared" si="36"/>
        <v>0</v>
      </c>
      <c r="CS51">
        <f t="shared" si="37"/>
        <v>0</v>
      </c>
      <c r="CT51">
        <f t="shared" si="38"/>
        <v>0</v>
      </c>
      <c r="CU51">
        <f t="shared" si="39"/>
        <v>1.5</v>
      </c>
      <c r="CV51">
        <f t="shared" si="40"/>
        <v>0</v>
      </c>
      <c r="CW51">
        <f t="shared" si="41"/>
        <v>0</v>
      </c>
      <c r="CX51">
        <f t="shared" si="42"/>
        <v>1.5</v>
      </c>
      <c r="CY51">
        <f t="shared" si="43"/>
        <v>0</v>
      </c>
      <c r="CZ51">
        <f t="shared" si="44"/>
        <v>0</v>
      </c>
      <c r="DA51">
        <f t="shared" si="45"/>
        <v>0</v>
      </c>
      <c r="DB51">
        <f t="shared" si="46"/>
        <v>0</v>
      </c>
      <c r="DC51">
        <f t="shared" si="47"/>
        <v>0</v>
      </c>
      <c r="DD51">
        <f t="shared" si="48"/>
        <v>3</v>
      </c>
      <c r="DE51">
        <f t="shared" si="49"/>
        <v>0</v>
      </c>
      <c r="DF51">
        <f t="shared" si="50"/>
        <v>0</v>
      </c>
      <c r="DG51">
        <f t="shared" si="51"/>
        <v>1.5</v>
      </c>
      <c r="DH51">
        <f t="shared" si="52"/>
        <v>0</v>
      </c>
      <c r="DI51">
        <f t="shared" si="53"/>
        <v>0</v>
      </c>
      <c r="DJ51">
        <f t="shared" si="54"/>
        <v>0</v>
      </c>
      <c r="DK51">
        <f t="shared" si="55"/>
        <v>3</v>
      </c>
      <c r="DL51">
        <f t="shared" si="56"/>
        <v>0</v>
      </c>
      <c r="DM51">
        <f t="shared" si="57"/>
        <v>1.5</v>
      </c>
      <c r="DO51">
        <f t="shared" si="58"/>
        <v>51.5</v>
      </c>
    </row>
    <row r="52" spans="1:119" x14ac:dyDescent="0.35">
      <c r="A52" t="s">
        <v>58</v>
      </c>
      <c r="B52">
        <v>51</v>
      </c>
      <c r="C52" s="10">
        <v>10</v>
      </c>
      <c r="D52">
        <v>1.5</v>
      </c>
      <c r="E52">
        <v>1.5</v>
      </c>
      <c r="F52">
        <v>3</v>
      </c>
      <c r="G52">
        <v>10</v>
      </c>
      <c r="H52">
        <v>0</v>
      </c>
      <c r="I52">
        <v>3</v>
      </c>
      <c r="J52">
        <v>3</v>
      </c>
      <c r="K52">
        <v>3</v>
      </c>
      <c r="L52">
        <v>1.5</v>
      </c>
      <c r="M52">
        <v>0</v>
      </c>
      <c r="N52">
        <v>1.5</v>
      </c>
      <c r="O52">
        <v>1.5</v>
      </c>
      <c r="P52">
        <v>1.5</v>
      </c>
      <c r="Q52">
        <v>3</v>
      </c>
      <c r="R52">
        <v>1.5</v>
      </c>
      <c r="S52">
        <v>1.5</v>
      </c>
      <c r="T52">
        <v>4.5</v>
      </c>
      <c r="U52">
        <v>1.5</v>
      </c>
      <c r="V52">
        <v>10</v>
      </c>
      <c r="W52">
        <v>1.5</v>
      </c>
      <c r="X52">
        <v>0</v>
      </c>
      <c r="Y52">
        <v>3</v>
      </c>
      <c r="Z52">
        <v>0</v>
      </c>
      <c r="AA52">
        <v>10</v>
      </c>
      <c r="AB52">
        <v>0</v>
      </c>
      <c r="AC52">
        <v>3</v>
      </c>
      <c r="AD52">
        <v>10</v>
      </c>
      <c r="AE52">
        <v>0</v>
      </c>
      <c r="AF52">
        <v>3</v>
      </c>
      <c r="AG52">
        <v>0</v>
      </c>
      <c r="AH52">
        <v>0</v>
      </c>
      <c r="AI52">
        <v>1.5</v>
      </c>
      <c r="AJ52">
        <v>0</v>
      </c>
      <c r="AK52">
        <v>3</v>
      </c>
      <c r="AL52">
        <v>0</v>
      </c>
      <c r="AM52">
        <v>0</v>
      </c>
      <c r="AN52">
        <v>10</v>
      </c>
      <c r="AO52">
        <v>3</v>
      </c>
      <c r="AP52">
        <v>1.5</v>
      </c>
      <c r="AQ52">
        <v>0</v>
      </c>
      <c r="AR52">
        <v>1.5</v>
      </c>
      <c r="AS52">
        <v>0</v>
      </c>
      <c r="AT52">
        <v>10</v>
      </c>
      <c r="AU52">
        <v>3</v>
      </c>
      <c r="AV52">
        <v>1.5</v>
      </c>
      <c r="AW52">
        <v>1.5</v>
      </c>
      <c r="AX52">
        <v>1.5</v>
      </c>
      <c r="AY52">
        <v>10</v>
      </c>
      <c r="AZ52">
        <v>1.5</v>
      </c>
      <c r="BA52">
        <v>10</v>
      </c>
      <c r="BB52">
        <v>0</v>
      </c>
      <c r="BC52">
        <v>0</v>
      </c>
      <c r="BD52">
        <v>0</v>
      </c>
      <c r="BE52">
        <v>3</v>
      </c>
      <c r="BF52">
        <v>10</v>
      </c>
      <c r="BG52">
        <v>10</v>
      </c>
      <c r="BI52">
        <f t="shared" si="1"/>
        <v>10</v>
      </c>
      <c r="BJ52">
        <f t="shared" si="2"/>
        <v>0</v>
      </c>
      <c r="BK52">
        <f t="shared" si="3"/>
        <v>0</v>
      </c>
      <c r="BL52">
        <f t="shared" si="4"/>
        <v>3</v>
      </c>
      <c r="BM52">
        <f t="shared" si="5"/>
        <v>0</v>
      </c>
      <c r="BN52">
        <f t="shared" si="6"/>
        <v>0</v>
      </c>
      <c r="BO52">
        <f t="shared" si="7"/>
        <v>3</v>
      </c>
      <c r="BP52">
        <f t="shared" si="8"/>
        <v>3</v>
      </c>
      <c r="BQ52">
        <f t="shared" si="9"/>
        <v>3</v>
      </c>
      <c r="BR52">
        <f t="shared" si="10"/>
        <v>0</v>
      </c>
      <c r="BS52">
        <f t="shared" si="11"/>
        <v>0</v>
      </c>
      <c r="BT52">
        <f t="shared" si="12"/>
        <v>0</v>
      </c>
      <c r="BU52">
        <f t="shared" si="13"/>
        <v>0</v>
      </c>
      <c r="BV52">
        <f t="shared" si="14"/>
        <v>1.5</v>
      </c>
      <c r="BW52">
        <f t="shared" si="15"/>
        <v>3</v>
      </c>
      <c r="BX52">
        <f t="shared" si="16"/>
        <v>0</v>
      </c>
      <c r="BY52">
        <f t="shared" si="17"/>
        <v>1.5</v>
      </c>
      <c r="BZ52">
        <f t="shared" si="18"/>
        <v>4.5</v>
      </c>
      <c r="CA52">
        <f t="shared" si="19"/>
        <v>0</v>
      </c>
      <c r="CB52">
        <f t="shared" si="20"/>
        <v>10</v>
      </c>
      <c r="CC52">
        <f t="shared" si="21"/>
        <v>0</v>
      </c>
      <c r="CD52">
        <f t="shared" si="22"/>
        <v>0</v>
      </c>
      <c r="CE52">
        <f t="shared" si="23"/>
        <v>0</v>
      </c>
      <c r="CF52">
        <f t="shared" si="24"/>
        <v>0</v>
      </c>
      <c r="CG52">
        <f t="shared" si="25"/>
        <v>0</v>
      </c>
      <c r="CH52">
        <f t="shared" si="26"/>
        <v>0</v>
      </c>
      <c r="CI52">
        <f t="shared" si="27"/>
        <v>0</v>
      </c>
      <c r="CJ52">
        <f t="shared" si="28"/>
        <v>0</v>
      </c>
      <c r="CK52">
        <f t="shared" si="29"/>
        <v>0</v>
      </c>
      <c r="CL52">
        <f t="shared" si="30"/>
        <v>0</v>
      </c>
      <c r="CM52">
        <f t="shared" si="31"/>
        <v>0</v>
      </c>
      <c r="CN52">
        <f t="shared" si="32"/>
        <v>0</v>
      </c>
      <c r="CO52">
        <f t="shared" si="33"/>
        <v>0</v>
      </c>
      <c r="CP52">
        <f t="shared" si="34"/>
        <v>0</v>
      </c>
      <c r="CQ52">
        <f t="shared" si="35"/>
        <v>0</v>
      </c>
      <c r="CR52">
        <f t="shared" si="36"/>
        <v>0</v>
      </c>
      <c r="CS52">
        <f t="shared" si="37"/>
        <v>0</v>
      </c>
      <c r="CT52">
        <f t="shared" si="38"/>
        <v>0</v>
      </c>
      <c r="CU52">
        <f t="shared" si="39"/>
        <v>3</v>
      </c>
      <c r="CV52">
        <f t="shared" si="40"/>
        <v>0</v>
      </c>
      <c r="CW52">
        <f t="shared" si="41"/>
        <v>0</v>
      </c>
      <c r="CX52">
        <f t="shared" si="42"/>
        <v>1.5</v>
      </c>
      <c r="CY52">
        <f t="shared" si="43"/>
        <v>0</v>
      </c>
      <c r="CZ52">
        <f t="shared" si="44"/>
        <v>0</v>
      </c>
      <c r="DA52">
        <f t="shared" si="45"/>
        <v>0</v>
      </c>
      <c r="DB52">
        <f t="shared" si="46"/>
        <v>0</v>
      </c>
      <c r="DC52">
        <f t="shared" si="47"/>
        <v>0</v>
      </c>
      <c r="DD52">
        <f t="shared" si="48"/>
        <v>1.5</v>
      </c>
      <c r="DE52">
        <f t="shared" si="49"/>
        <v>0</v>
      </c>
      <c r="DF52">
        <f t="shared" si="50"/>
        <v>0</v>
      </c>
      <c r="DG52">
        <f t="shared" si="51"/>
        <v>10</v>
      </c>
      <c r="DH52">
        <f t="shared" si="52"/>
        <v>0</v>
      </c>
      <c r="DI52">
        <f t="shared" si="53"/>
        <v>0</v>
      </c>
      <c r="DJ52">
        <f t="shared" si="54"/>
        <v>0</v>
      </c>
      <c r="DK52">
        <f t="shared" si="55"/>
        <v>3</v>
      </c>
      <c r="DL52">
        <f t="shared" si="56"/>
        <v>0</v>
      </c>
      <c r="DM52">
        <f t="shared" si="57"/>
        <v>10</v>
      </c>
      <c r="DO52">
        <f t="shared" si="58"/>
        <v>71.5</v>
      </c>
    </row>
    <row r="53" spans="1:119" x14ac:dyDescent="0.35">
      <c r="A53" t="s">
        <v>59</v>
      </c>
      <c r="B53">
        <v>52</v>
      </c>
      <c r="C53" s="10">
        <v>3</v>
      </c>
      <c r="D53">
        <v>6</v>
      </c>
      <c r="E53">
        <v>4.5</v>
      </c>
      <c r="F53">
        <v>3</v>
      </c>
      <c r="G53">
        <v>0</v>
      </c>
      <c r="H53">
        <v>10</v>
      </c>
      <c r="I53">
        <v>10</v>
      </c>
      <c r="J53">
        <v>1.5</v>
      </c>
      <c r="K53">
        <v>7.5</v>
      </c>
      <c r="L53">
        <v>4.5</v>
      </c>
      <c r="M53">
        <v>3</v>
      </c>
      <c r="N53">
        <v>0</v>
      </c>
      <c r="O53">
        <v>10</v>
      </c>
      <c r="P53">
        <v>1.5</v>
      </c>
      <c r="Q53">
        <v>10</v>
      </c>
      <c r="R53">
        <v>1.5</v>
      </c>
      <c r="S53">
        <v>10</v>
      </c>
      <c r="T53">
        <v>3</v>
      </c>
      <c r="U53">
        <v>3</v>
      </c>
      <c r="V53">
        <v>3</v>
      </c>
      <c r="W53">
        <v>10</v>
      </c>
      <c r="X53">
        <v>10</v>
      </c>
      <c r="Y53">
        <v>3</v>
      </c>
      <c r="Z53">
        <v>10</v>
      </c>
      <c r="AA53">
        <v>1.5</v>
      </c>
      <c r="AB53">
        <v>6</v>
      </c>
      <c r="AC53">
        <v>1.5</v>
      </c>
      <c r="AD53">
        <v>0</v>
      </c>
      <c r="AE53">
        <v>10</v>
      </c>
      <c r="AF53">
        <v>3</v>
      </c>
      <c r="AG53">
        <v>10</v>
      </c>
      <c r="AH53">
        <v>10</v>
      </c>
      <c r="AI53">
        <v>0</v>
      </c>
      <c r="AJ53">
        <v>10</v>
      </c>
      <c r="AK53">
        <v>3</v>
      </c>
      <c r="AL53">
        <v>10</v>
      </c>
      <c r="AM53">
        <v>4.5</v>
      </c>
      <c r="AN53">
        <v>3</v>
      </c>
      <c r="AO53">
        <v>6</v>
      </c>
      <c r="AP53">
        <v>4.5</v>
      </c>
      <c r="AQ53">
        <v>6</v>
      </c>
      <c r="AR53">
        <v>1.5</v>
      </c>
      <c r="AS53">
        <v>3</v>
      </c>
      <c r="AT53">
        <v>0</v>
      </c>
      <c r="AU53">
        <v>1.5</v>
      </c>
      <c r="AV53">
        <v>10</v>
      </c>
      <c r="AW53">
        <v>3</v>
      </c>
      <c r="AX53">
        <v>10</v>
      </c>
      <c r="AY53">
        <v>1.5</v>
      </c>
      <c r="AZ53">
        <v>10</v>
      </c>
      <c r="BA53">
        <v>0</v>
      </c>
      <c r="BB53">
        <v>10</v>
      </c>
      <c r="BC53">
        <v>3</v>
      </c>
      <c r="BD53">
        <v>1.5</v>
      </c>
      <c r="BE53">
        <v>6</v>
      </c>
      <c r="BF53">
        <v>1.5</v>
      </c>
      <c r="BG53">
        <v>1.5</v>
      </c>
      <c r="BI53">
        <f t="shared" si="1"/>
        <v>3</v>
      </c>
      <c r="BJ53">
        <f t="shared" si="2"/>
        <v>0</v>
      </c>
      <c r="BK53">
        <f t="shared" si="3"/>
        <v>0</v>
      </c>
      <c r="BL53">
        <f t="shared" si="4"/>
        <v>3</v>
      </c>
      <c r="BM53">
        <f t="shared" si="5"/>
        <v>0</v>
      </c>
      <c r="BN53">
        <f t="shared" si="6"/>
        <v>0</v>
      </c>
      <c r="BO53">
        <f t="shared" si="7"/>
        <v>10</v>
      </c>
      <c r="BP53">
        <f t="shared" si="8"/>
        <v>1.5</v>
      </c>
      <c r="BQ53">
        <f t="shared" si="9"/>
        <v>7.5</v>
      </c>
      <c r="BR53">
        <f t="shared" si="10"/>
        <v>0</v>
      </c>
      <c r="BS53">
        <f t="shared" si="11"/>
        <v>0</v>
      </c>
      <c r="BT53">
        <f t="shared" si="12"/>
        <v>0</v>
      </c>
      <c r="BU53">
        <f t="shared" si="13"/>
        <v>0</v>
      </c>
      <c r="BV53">
        <f t="shared" si="14"/>
        <v>1.5</v>
      </c>
      <c r="BW53">
        <f t="shared" si="15"/>
        <v>10</v>
      </c>
      <c r="BX53">
        <f t="shared" si="16"/>
        <v>0</v>
      </c>
      <c r="BY53">
        <f t="shared" si="17"/>
        <v>10</v>
      </c>
      <c r="BZ53">
        <f t="shared" si="18"/>
        <v>3</v>
      </c>
      <c r="CA53">
        <f t="shared" si="19"/>
        <v>0</v>
      </c>
      <c r="CB53">
        <f t="shared" si="20"/>
        <v>3</v>
      </c>
      <c r="CC53">
        <f t="shared" si="21"/>
        <v>0</v>
      </c>
      <c r="CD53">
        <f t="shared" si="22"/>
        <v>0</v>
      </c>
      <c r="CE53">
        <f t="shared" si="23"/>
        <v>0</v>
      </c>
      <c r="CF53">
        <f t="shared" si="24"/>
        <v>0</v>
      </c>
      <c r="CG53">
        <f t="shared" si="25"/>
        <v>0</v>
      </c>
      <c r="CH53">
        <f t="shared" si="26"/>
        <v>0</v>
      </c>
      <c r="CI53">
        <f t="shared" si="27"/>
        <v>0</v>
      </c>
      <c r="CJ53">
        <f t="shared" si="28"/>
        <v>0</v>
      </c>
      <c r="CK53">
        <f t="shared" si="29"/>
        <v>0</v>
      </c>
      <c r="CL53">
        <f t="shared" si="30"/>
        <v>0</v>
      </c>
      <c r="CM53">
        <f t="shared" si="31"/>
        <v>0</v>
      </c>
      <c r="CN53">
        <f t="shared" si="32"/>
        <v>0</v>
      </c>
      <c r="CO53">
        <f t="shared" si="33"/>
        <v>0</v>
      </c>
      <c r="CP53">
        <f t="shared" si="34"/>
        <v>0</v>
      </c>
      <c r="CQ53">
        <f t="shared" si="35"/>
        <v>0</v>
      </c>
      <c r="CR53">
        <f t="shared" si="36"/>
        <v>0</v>
      </c>
      <c r="CS53">
        <f t="shared" si="37"/>
        <v>0</v>
      </c>
      <c r="CT53">
        <f t="shared" si="38"/>
        <v>0</v>
      </c>
      <c r="CU53">
        <f t="shared" si="39"/>
        <v>6</v>
      </c>
      <c r="CV53">
        <f t="shared" si="40"/>
        <v>0</v>
      </c>
      <c r="CW53">
        <f t="shared" si="41"/>
        <v>0</v>
      </c>
      <c r="CX53">
        <f t="shared" si="42"/>
        <v>1.5</v>
      </c>
      <c r="CY53">
        <f t="shared" si="43"/>
        <v>0</v>
      </c>
      <c r="CZ53">
        <f t="shared" si="44"/>
        <v>0</v>
      </c>
      <c r="DA53">
        <f t="shared" si="45"/>
        <v>0</v>
      </c>
      <c r="DB53">
        <f t="shared" si="46"/>
        <v>0</v>
      </c>
      <c r="DC53">
        <f t="shared" si="47"/>
        <v>0</v>
      </c>
      <c r="DD53">
        <f t="shared" si="48"/>
        <v>10</v>
      </c>
      <c r="DE53">
        <f t="shared" si="49"/>
        <v>0</v>
      </c>
      <c r="DF53">
        <f t="shared" si="50"/>
        <v>0</v>
      </c>
      <c r="DG53">
        <f t="shared" si="51"/>
        <v>0</v>
      </c>
      <c r="DH53">
        <f t="shared" si="52"/>
        <v>0</v>
      </c>
      <c r="DI53">
        <f t="shared" si="53"/>
        <v>0</v>
      </c>
      <c r="DJ53">
        <f t="shared" si="54"/>
        <v>0</v>
      </c>
      <c r="DK53">
        <f t="shared" si="55"/>
        <v>6</v>
      </c>
      <c r="DL53">
        <f t="shared" si="56"/>
        <v>0</v>
      </c>
      <c r="DM53">
        <f t="shared" si="57"/>
        <v>1.5</v>
      </c>
      <c r="DO53">
        <f t="shared" si="58"/>
        <v>77.5</v>
      </c>
    </row>
    <row r="54" spans="1:119" x14ac:dyDescent="0.35">
      <c r="A54" t="s">
        <v>60</v>
      </c>
      <c r="B54">
        <v>53</v>
      </c>
      <c r="C54" s="10">
        <v>1.5</v>
      </c>
      <c r="D54">
        <v>3</v>
      </c>
      <c r="E54">
        <v>10</v>
      </c>
      <c r="F54">
        <v>3</v>
      </c>
      <c r="G54">
        <v>0</v>
      </c>
      <c r="H54">
        <v>10</v>
      </c>
      <c r="I54">
        <v>1.5</v>
      </c>
      <c r="J54">
        <v>1.5</v>
      </c>
      <c r="K54">
        <v>3</v>
      </c>
      <c r="L54">
        <v>1.5</v>
      </c>
      <c r="M54">
        <v>3</v>
      </c>
      <c r="N54">
        <v>0</v>
      </c>
      <c r="O54">
        <v>1.5</v>
      </c>
      <c r="P54">
        <v>10</v>
      </c>
      <c r="Q54">
        <v>4.5</v>
      </c>
      <c r="R54">
        <v>10</v>
      </c>
      <c r="S54">
        <v>1.5</v>
      </c>
      <c r="T54">
        <v>1.5</v>
      </c>
      <c r="U54">
        <v>3</v>
      </c>
      <c r="V54">
        <v>1.5</v>
      </c>
      <c r="W54">
        <v>1.5</v>
      </c>
      <c r="X54">
        <v>3</v>
      </c>
      <c r="Y54">
        <v>1.5</v>
      </c>
      <c r="Z54">
        <v>10</v>
      </c>
      <c r="AA54">
        <v>0</v>
      </c>
      <c r="AB54">
        <v>1.5</v>
      </c>
      <c r="AC54">
        <v>0</v>
      </c>
      <c r="AD54">
        <v>0</v>
      </c>
      <c r="AE54">
        <v>0</v>
      </c>
      <c r="AF54">
        <v>0</v>
      </c>
      <c r="AG54">
        <v>3</v>
      </c>
      <c r="AH54">
        <v>3</v>
      </c>
      <c r="AI54">
        <v>1.5</v>
      </c>
      <c r="AJ54">
        <v>3</v>
      </c>
      <c r="AK54">
        <v>0</v>
      </c>
      <c r="AL54">
        <v>3</v>
      </c>
      <c r="AM54">
        <v>10</v>
      </c>
      <c r="AN54">
        <v>1.5</v>
      </c>
      <c r="AO54">
        <v>3</v>
      </c>
      <c r="AP54">
        <v>10</v>
      </c>
      <c r="AQ54">
        <v>1.5</v>
      </c>
      <c r="AR54">
        <v>3</v>
      </c>
      <c r="AS54">
        <v>10</v>
      </c>
      <c r="AT54">
        <v>1.5</v>
      </c>
      <c r="AU54">
        <v>1.5</v>
      </c>
      <c r="AV54">
        <v>0</v>
      </c>
      <c r="AW54">
        <v>0</v>
      </c>
      <c r="AX54">
        <v>3</v>
      </c>
      <c r="AY54">
        <v>1.5</v>
      </c>
      <c r="AZ54">
        <v>1.5</v>
      </c>
      <c r="BA54">
        <v>0</v>
      </c>
      <c r="BB54">
        <v>3</v>
      </c>
      <c r="BC54">
        <v>10</v>
      </c>
      <c r="BD54">
        <v>3</v>
      </c>
      <c r="BE54">
        <v>10</v>
      </c>
      <c r="BF54">
        <v>0</v>
      </c>
      <c r="BG54">
        <v>1.5</v>
      </c>
      <c r="BI54">
        <f t="shared" si="1"/>
        <v>1.5</v>
      </c>
      <c r="BJ54">
        <f t="shared" si="2"/>
        <v>0</v>
      </c>
      <c r="BK54">
        <f t="shared" si="3"/>
        <v>0</v>
      </c>
      <c r="BL54">
        <f t="shared" si="4"/>
        <v>3</v>
      </c>
      <c r="BM54">
        <f t="shared" si="5"/>
        <v>0</v>
      </c>
      <c r="BN54">
        <f t="shared" si="6"/>
        <v>0</v>
      </c>
      <c r="BO54">
        <f t="shared" si="7"/>
        <v>1.5</v>
      </c>
      <c r="BP54">
        <f t="shared" si="8"/>
        <v>1.5</v>
      </c>
      <c r="BQ54">
        <f t="shared" si="9"/>
        <v>3</v>
      </c>
      <c r="BR54">
        <f t="shared" si="10"/>
        <v>0</v>
      </c>
      <c r="BS54">
        <f t="shared" si="11"/>
        <v>0</v>
      </c>
      <c r="BT54">
        <f t="shared" si="12"/>
        <v>0</v>
      </c>
      <c r="BU54">
        <f t="shared" si="13"/>
        <v>0</v>
      </c>
      <c r="BV54">
        <f t="shared" si="14"/>
        <v>10</v>
      </c>
      <c r="BW54">
        <f t="shared" si="15"/>
        <v>4.5</v>
      </c>
      <c r="BX54">
        <f t="shared" si="16"/>
        <v>0</v>
      </c>
      <c r="BY54">
        <f t="shared" si="17"/>
        <v>1.5</v>
      </c>
      <c r="BZ54">
        <f t="shared" si="18"/>
        <v>1.5</v>
      </c>
      <c r="CA54">
        <f t="shared" si="19"/>
        <v>0</v>
      </c>
      <c r="CB54">
        <f t="shared" si="20"/>
        <v>1.5</v>
      </c>
      <c r="CC54">
        <f t="shared" si="21"/>
        <v>0</v>
      </c>
      <c r="CD54">
        <f t="shared" si="22"/>
        <v>0</v>
      </c>
      <c r="CE54">
        <f t="shared" si="23"/>
        <v>0</v>
      </c>
      <c r="CF54">
        <f t="shared" si="24"/>
        <v>0</v>
      </c>
      <c r="CG54">
        <f t="shared" si="25"/>
        <v>0</v>
      </c>
      <c r="CH54">
        <f t="shared" si="26"/>
        <v>0</v>
      </c>
      <c r="CI54">
        <f t="shared" si="27"/>
        <v>0</v>
      </c>
      <c r="CJ54">
        <f t="shared" si="28"/>
        <v>0</v>
      </c>
      <c r="CK54">
        <f t="shared" si="29"/>
        <v>0</v>
      </c>
      <c r="CL54">
        <f t="shared" si="30"/>
        <v>0</v>
      </c>
      <c r="CM54">
        <f t="shared" si="31"/>
        <v>0</v>
      </c>
      <c r="CN54">
        <f t="shared" si="32"/>
        <v>0</v>
      </c>
      <c r="CO54">
        <f t="shared" si="33"/>
        <v>0</v>
      </c>
      <c r="CP54">
        <f t="shared" si="34"/>
        <v>0</v>
      </c>
      <c r="CQ54">
        <f t="shared" si="35"/>
        <v>0</v>
      </c>
      <c r="CR54">
        <f t="shared" si="36"/>
        <v>0</v>
      </c>
      <c r="CS54">
        <f t="shared" si="37"/>
        <v>0</v>
      </c>
      <c r="CT54">
        <f t="shared" si="38"/>
        <v>0</v>
      </c>
      <c r="CU54">
        <f t="shared" si="39"/>
        <v>3</v>
      </c>
      <c r="CV54">
        <f t="shared" si="40"/>
        <v>0</v>
      </c>
      <c r="CW54">
        <f t="shared" si="41"/>
        <v>0</v>
      </c>
      <c r="CX54">
        <f t="shared" si="42"/>
        <v>3</v>
      </c>
      <c r="CY54">
        <f t="shared" si="43"/>
        <v>0</v>
      </c>
      <c r="CZ54">
        <f t="shared" si="44"/>
        <v>0</v>
      </c>
      <c r="DA54">
        <f t="shared" si="45"/>
        <v>0</v>
      </c>
      <c r="DB54">
        <f t="shared" si="46"/>
        <v>0</v>
      </c>
      <c r="DC54">
        <f t="shared" si="47"/>
        <v>0</v>
      </c>
      <c r="DD54">
        <f t="shared" si="48"/>
        <v>3</v>
      </c>
      <c r="DE54">
        <f t="shared" si="49"/>
        <v>0</v>
      </c>
      <c r="DF54">
        <f t="shared" si="50"/>
        <v>0</v>
      </c>
      <c r="DG54">
        <f t="shared" si="51"/>
        <v>0</v>
      </c>
      <c r="DH54">
        <f t="shared" si="52"/>
        <v>0</v>
      </c>
      <c r="DI54">
        <f t="shared" si="53"/>
        <v>0</v>
      </c>
      <c r="DJ54">
        <f t="shared" si="54"/>
        <v>0</v>
      </c>
      <c r="DK54">
        <f t="shared" si="55"/>
        <v>10</v>
      </c>
      <c r="DL54">
        <f t="shared" si="56"/>
        <v>0</v>
      </c>
      <c r="DM54">
        <f t="shared" si="57"/>
        <v>1.5</v>
      </c>
      <c r="DO54">
        <f t="shared" si="58"/>
        <v>50</v>
      </c>
    </row>
    <row r="55" spans="1:119" x14ac:dyDescent="0.35">
      <c r="A55" t="s">
        <v>61</v>
      </c>
      <c r="B55">
        <v>54</v>
      </c>
      <c r="C55" s="10">
        <v>0</v>
      </c>
      <c r="D55">
        <v>0</v>
      </c>
      <c r="E55">
        <v>1.5</v>
      </c>
      <c r="F55">
        <v>1.5</v>
      </c>
      <c r="G55">
        <v>3</v>
      </c>
      <c r="H55">
        <v>3</v>
      </c>
      <c r="I55">
        <v>0</v>
      </c>
      <c r="J55">
        <v>10</v>
      </c>
      <c r="K55">
        <v>1.5</v>
      </c>
      <c r="L55">
        <v>1.5</v>
      </c>
      <c r="M55">
        <v>10</v>
      </c>
      <c r="N55">
        <v>1.5</v>
      </c>
      <c r="O55">
        <v>1.5</v>
      </c>
      <c r="P55">
        <v>3</v>
      </c>
      <c r="Q55">
        <v>0</v>
      </c>
      <c r="R55">
        <v>10</v>
      </c>
      <c r="S55">
        <v>0</v>
      </c>
      <c r="T55">
        <v>3</v>
      </c>
      <c r="U55">
        <v>3</v>
      </c>
      <c r="V55">
        <v>0</v>
      </c>
      <c r="W55">
        <v>0</v>
      </c>
      <c r="X55">
        <v>3</v>
      </c>
      <c r="Y55">
        <v>1.5</v>
      </c>
      <c r="Z55">
        <v>1.5</v>
      </c>
      <c r="AA55">
        <v>0</v>
      </c>
      <c r="AB55">
        <v>0</v>
      </c>
      <c r="AC55">
        <v>1.5</v>
      </c>
      <c r="AD55">
        <v>1.5</v>
      </c>
      <c r="AE55">
        <v>0</v>
      </c>
      <c r="AF55">
        <v>0</v>
      </c>
      <c r="AG55">
        <v>1.5</v>
      </c>
      <c r="AH55">
        <v>10</v>
      </c>
      <c r="AI55">
        <v>10</v>
      </c>
      <c r="AJ55">
        <v>0</v>
      </c>
      <c r="AK55">
        <v>0</v>
      </c>
      <c r="AL55">
        <v>1.5</v>
      </c>
      <c r="AM55">
        <v>1.5</v>
      </c>
      <c r="AN55">
        <v>1.5</v>
      </c>
      <c r="AO55">
        <v>1.5</v>
      </c>
      <c r="AP55">
        <v>10</v>
      </c>
      <c r="AQ55">
        <v>0</v>
      </c>
      <c r="AR55">
        <v>10</v>
      </c>
      <c r="AS55">
        <v>3</v>
      </c>
      <c r="AT55">
        <v>1.5</v>
      </c>
      <c r="AU55">
        <v>1.5</v>
      </c>
      <c r="AV55">
        <v>0</v>
      </c>
      <c r="AW55">
        <v>0</v>
      </c>
      <c r="AX55">
        <v>1.5</v>
      </c>
      <c r="AY55">
        <v>0</v>
      </c>
      <c r="AZ55">
        <v>0</v>
      </c>
      <c r="BA55">
        <v>0</v>
      </c>
      <c r="BB55">
        <v>1.5</v>
      </c>
      <c r="BC55">
        <v>3</v>
      </c>
      <c r="BD55">
        <v>10</v>
      </c>
      <c r="BE55">
        <v>1.5</v>
      </c>
      <c r="BF55">
        <v>0</v>
      </c>
      <c r="BG55">
        <v>1.5</v>
      </c>
      <c r="BI55">
        <f t="shared" si="1"/>
        <v>0</v>
      </c>
      <c r="BJ55">
        <f t="shared" si="2"/>
        <v>0</v>
      </c>
      <c r="BK55">
        <f t="shared" si="3"/>
        <v>0</v>
      </c>
      <c r="BL55">
        <f t="shared" si="4"/>
        <v>1.5</v>
      </c>
      <c r="BM55">
        <f t="shared" si="5"/>
        <v>0</v>
      </c>
      <c r="BN55">
        <f t="shared" si="6"/>
        <v>0</v>
      </c>
      <c r="BO55">
        <f t="shared" si="7"/>
        <v>0</v>
      </c>
      <c r="BP55">
        <f t="shared" si="8"/>
        <v>10</v>
      </c>
      <c r="BQ55">
        <f t="shared" si="9"/>
        <v>1.5</v>
      </c>
      <c r="BR55">
        <f t="shared" si="10"/>
        <v>0</v>
      </c>
      <c r="BS55">
        <f t="shared" si="11"/>
        <v>0</v>
      </c>
      <c r="BT55">
        <f t="shared" si="12"/>
        <v>0</v>
      </c>
      <c r="BU55">
        <f t="shared" si="13"/>
        <v>0</v>
      </c>
      <c r="BV55">
        <f t="shared" si="14"/>
        <v>3</v>
      </c>
      <c r="BW55">
        <f t="shared" si="15"/>
        <v>0</v>
      </c>
      <c r="BX55">
        <f t="shared" si="16"/>
        <v>0</v>
      </c>
      <c r="BY55">
        <f t="shared" si="17"/>
        <v>0</v>
      </c>
      <c r="BZ55">
        <f t="shared" si="18"/>
        <v>3</v>
      </c>
      <c r="CA55">
        <f t="shared" si="19"/>
        <v>0</v>
      </c>
      <c r="CB55">
        <f t="shared" si="20"/>
        <v>0</v>
      </c>
      <c r="CC55">
        <f t="shared" si="21"/>
        <v>0</v>
      </c>
      <c r="CD55">
        <f t="shared" si="22"/>
        <v>0</v>
      </c>
      <c r="CE55">
        <f t="shared" si="23"/>
        <v>0</v>
      </c>
      <c r="CF55">
        <f t="shared" si="24"/>
        <v>0</v>
      </c>
      <c r="CG55">
        <f t="shared" si="25"/>
        <v>0</v>
      </c>
      <c r="CH55">
        <f t="shared" si="26"/>
        <v>0</v>
      </c>
      <c r="CI55">
        <f t="shared" si="27"/>
        <v>0</v>
      </c>
      <c r="CJ55">
        <f t="shared" si="28"/>
        <v>0</v>
      </c>
      <c r="CK55">
        <f t="shared" si="29"/>
        <v>0</v>
      </c>
      <c r="CL55">
        <f t="shared" si="30"/>
        <v>0</v>
      </c>
      <c r="CM55">
        <f t="shared" si="31"/>
        <v>0</v>
      </c>
      <c r="CN55">
        <f t="shared" si="32"/>
        <v>0</v>
      </c>
      <c r="CO55">
        <f t="shared" si="33"/>
        <v>0</v>
      </c>
      <c r="CP55">
        <f t="shared" si="34"/>
        <v>0</v>
      </c>
      <c r="CQ55">
        <f t="shared" si="35"/>
        <v>0</v>
      </c>
      <c r="CR55">
        <f t="shared" si="36"/>
        <v>0</v>
      </c>
      <c r="CS55">
        <f t="shared" si="37"/>
        <v>0</v>
      </c>
      <c r="CT55">
        <f t="shared" si="38"/>
        <v>0</v>
      </c>
      <c r="CU55">
        <f t="shared" si="39"/>
        <v>1.5</v>
      </c>
      <c r="CV55">
        <f t="shared" si="40"/>
        <v>0</v>
      </c>
      <c r="CW55">
        <f t="shared" si="41"/>
        <v>0</v>
      </c>
      <c r="CX55">
        <f t="shared" si="42"/>
        <v>10</v>
      </c>
      <c r="CY55">
        <f t="shared" si="43"/>
        <v>0</v>
      </c>
      <c r="CZ55">
        <f t="shared" si="44"/>
        <v>0</v>
      </c>
      <c r="DA55">
        <f t="shared" si="45"/>
        <v>0</v>
      </c>
      <c r="DB55">
        <f t="shared" si="46"/>
        <v>0</v>
      </c>
      <c r="DC55">
        <f t="shared" si="47"/>
        <v>0</v>
      </c>
      <c r="DD55">
        <f t="shared" si="48"/>
        <v>1.5</v>
      </c>
      <c r="DE55">
        <f t="shared" si="49"/>
        <v>0</v>
      </c>
      <c r="DF55">
        <f t="shared" si="50"/>
        <v>0</v>
      </c>
      <c r="DG55">
        <f t="shared" si="51"/>
        <v>0</v>
      </c>
      <c r="DH55">
        <f t="shared" si="52"/>
        <v>0</v>
      </c>
      <c r="DI55">
        <f t="shared" si="53"/>
        <v>0</v>
      </c>
      <c r="DJ55">
        <f t="shared" si="54"/>
        <v>0</v>
      </c>
      <c r="DK55">
        <f t="shared" si="55"/>
        <v>1.5</v>
      </c>
      <c r="DL55">
        <f t="shared" si="56"/>
        <v>0</v>
      </c>
      <c r="DM55">
        <f t="shared" si="57"/>
        <v>1.5</v>
      </c>
      <c r="DO55">
        <f t="shared" si="58"/>
        <v>35</v>
      </c>
    </row>
    <row r="56" spans="1:119" x14ac:dyDescent="0.35">
      <c r="A56" t="s">
        <v>62</v>
      </c>
      <c r="B56">
        <v>55</v>
      </c>
      <c r="C56" s="10">
        <v>10</v>
      </c>
      <c r="D56">
        <v>3</v>
      </c>
      <c r="E56">
        <v>10</v>
      </c>
      <c r="F56">
        <v>1.5</v>
      </c>
      <c r="G56">
        <v>1.5</v>
      </c>
      <c r="H56">
        <v>10</v>
      </c>
      <c r="I56">
        <v>10</v>
      </c>
      <c r="J56">
        <v>1.5</v>
      </c>
      <c r="K56">
        <v>1.5</v>
      </c>
      <c r="L56">
        <v>1.5</v>
      </c>
      <c r="M56">
        <v>3</v>
      </c>
      <c r="N56">
        <v>0</v>
      </c>
      <c r="O56">
        <v>3</v>
      </c>
      <c r="P56">
        <v>1.5</v>
      </c>
      <c r="Q56">
        <v>10</v>
      </c>
      <c r="R56">
        <v>1.5</v>
      </c>
      <c r="S56">
        <v>3</v>
      </c>
      <c r="T56">
        <v>10</v>
      </c>
      <c r="U56">
        <v>1.5</v>
      </c>
      <c r="V56">
        <v>10</v>
      </c>
      <c r="W56">
        <v>3</v>
      </c>
      <c r="X56">
        <v>3</v>
      </c>
      <c r="Y56">
        <v>1.5</v>
      </c>
      <c r="Z56">
        <v>10</v>
      </c>
      <c r="AA56">
        <v>3</v>
      </c>
      <c r="AB56">
        <v>1.5</v>
      </c>
      <c r="AC56">
        <v>0</v>
      </c>
      <c r="AD56">
        <v>3</v>
      </c>
      <c r="AE56">
        <v>1.5</v>
      </c>
      <c r="AF56">
        <v>0</v>
      </c>
      <c r="AG56">
        <v>4.5</v>
      </c>
      <c r="AH56">
        <v>1.5</v>
      </c>
      <c r="AI56">
        <v>3</v>
      </c>
      <c r="AJ56">
        <v>3</v>
      </c>
      <c r="AK56">
        <v>0</v>
      </c>
      <c r="AL56">
        <v>3</v>
      </c>
      <c r="AM56">
        <v>3</v>
      </c>
      <c r="AN56">
        <v>4.5</v>
      </c>
      <c r="AO56">
        <v>10</v>
      </c>
      <c r="AP56">
        <v>10</v>
      </c>
      <c r="AQ56">
        <v>1.5</v>
      </c>
      <c r="AR56">
        <v>1.5</v>
      </c>
      <c r="AS56">
        <v>3</v>
      </c>
      <c r="AT56">
        <v>3</v>
      </c>
      <c r="AU56">
        <v>0</v>
      </c>
      <c r="AV56">
        <v>1.5</v>
      </c>
      <c r="AW56">
        <v>0</v>
      </c>
      <c r="AX56">
        <v>3</v>
      </c>
      <c r="AY56">
        <v>4.5</v>
      </c>
      <c r="AZ56">
        <v>3</v>
      </c>
      <c r="BA56">
        <v>3</v>
      </c>
      <c r="BB56">
        <v>6</v>
      </c>
      <c r="BC56">
        <v>10</v>
      </c>
      <c r="BD56">
        <v>1.5</v>
      </c>
      <c r="BE56">
        <v>10</v>
      </c>
      <c r="BF56">
        <v>0</v>
      </c>
      <c r="BG56">
        <v>0</v>
      </c>
      <c r="BI56">
        <f t="shared" si="1"/>
        <v>10</v>
      </c>
      <c r="BJ56">
        <f t="shared" si="2"/>
        <v>0</v>
      </c>
      <c r="BK56">
        <f t="shared" si="3"/>
        <v>0</v>
      </c>
      <c r="BL56">
        <f t="shared" si="4"/>
        <v>1.5</v>
      </c>
      <c r="BM56">
        <f t="shared" si="5"/>
        <v>0</v>
      </c>
      <c r="BN56">
        <f t="shared" si="6"/>
        <v>0</v>
      </c>
      <c r="BO56">
        <f t="shared" si="7"/>
        <v>10</v>
      </c>
      <c r="BP56">
        <f t="shared" si="8"/>
        <v>1.5</v>
      </c>
      <c r="BQ56">
        <f t="shared" si="9"/>
        <v>1.5</v>
      </c>
      <c r="BR56">
        <f t="shared" si="10"/>
        <v>0</v>
      </c>
      <c r="BS56">
        <f t="shared" si="11"/>
        <v>0</v>
      </c>
      <c r="BT56">
        <f t="shared" si="12"/>
        <v>0</v>
      </c>
      <c r="BU56">
        <f t="shared" si="13"/>
        <v>0</v>
      </c>
      <c r="BV56">
        <f t="shared" si="14"/>
        <v>1.5</v>
      </c>
      <c r="BW56">
        <f t="shared" si="15"/>
        <v>10</v>
      </c>
      <c r="BX56">
        <f t="shared" si="16"/>
        <v>0</v>
      </c>
      <c r="BY56">
        <f t="shared" si="17"/>
        <v>3</v>
      </c>
      <c r="BZ56">
        <f t="shared" si="18"/>
        <v>10</v>
      </c>
      <c r="CA56">
        <f t="shared" si="19"/>
        <v>0</v>
      </c>
      <c r="CB56">
        <f t="shared" si="20"/>
        <v>10</v>
      </c>
      <c r="CC56">
        <f t="shared" si="21"/>
        <v>0</v>
      </c>
      <c r="CD56">
        <f t="shared" si="22"/>
        <v>0</v>
      </c>
      <c r="CE56">
        <f t="shared" si="23"/>
        <v>0</v>
      </c>
      <c r="CF56">
        <f t="shared" si="24"/>
        <v>0</v>
      </c>
      <c r="CG56">
        <f t="shared" si="25"/>
        <v>0</v>
      </c>
      <c r="CH56">
        <f t="shared" si="26"/>
        <v>0</v>
      </c>
      <c r="CI56">
        <f t="shared" si="27"/>
        <v>0</v>
      </c>
      <c r="CJ56">
        <f t="shared" si="28"/>
        <v>0</v>
      </c>
      <c r="CK56">
        <f t="shared" si="29"/>
        <v>0</v>
      </c>
      <c r="CL56">
        <f t="shared" si="30"/>
        <v>0</v>
      </c>
      <c r="CM56">
        <f t="shared" si="31"/>
        <v>0</v>
      </c>
      <c r="CN56">
        <f t="shared" si="32"/>
        <v>0</v>
      </c>
      <c r="CO56">
        <f t="shared" si="33"/>
        <v>0</v>
      </c>
      <c r="CP56">
        <f t="shared" si="34"/>
        <v>0</v>
      </c>
      <c r="CQ56">
        <f t="shared" si="35"/>
        <v>0</v>
      </c>
      <c r="CR56">
        <f t="shared" si="36"/>
        <v>0</v>
      </c>
      <c r="CS56">
        <f t="shared" si="37"/>
        <v>0</v>
      </c>
      <c r="CT56">
        <f t="shared" si="38"/>
        <v>0</v>
      </c>
      <c r="CU56">
        <f t="shared" si="39"/>
        <v>10</v>
      </c>
      <c r="CV56">
        <f t="shared" si="40"/>
        <v>0</v>
      </c>
      <c r="CW56">
        <f t="shared" si="41"/>
        <v>0</v>
      </c>
      <c r="CX56">
        <f t="shared" si="42"/>
        <v>1.5</v>
      </c>
      <c r="CY56">
        <f t="shared" si="43"/>
        <v>0</v>
      </c>
      <c r="CZ56">
        <f t="shared" si="44"/>
        <v>0</v>
      </c>
      <c r="DA56">
        <f t="shared" si="45"/>
        <v>0</v>
      </c>
      <c r="DB56">
        <f t="shared" si="46"/>
        <v>0</v>
      </c>
      <c r="DC56">
        <f t="shared" si="47"/>
        <v>0</v>
      </c>
      <c r="DD56">
        <f t="shared" si="48"/>
        <v>3</v>
      </c>
      <c r="DE56">
        <f t="shared" si="49"/>
        <v>0</v>
      </c>
      <c r="DF56">
        <f t="shared" si="50"/>
        <v>0</v>
      </c>
      <c r="DG56">
        <f t="shared" si="51"/>
        <v>3</v>
      </c>
      <c r="DH56">
        <f t="shared" si="52"/>
        <v>0</v>
      </c>
      <c r="DI56">
        <f t="shared" si="53"/>
        <v>0</v>
      </c>
      <c r="DJ56">
        <f t="shared" si="54"/>
        <v>0</v>
      </c>
      <c r="DK56">
        <f t="shared" si="55"/>
        <v>10</v>
      </c>
      <c r="DL56">
        <f t="shared" si="56"/>
        <v>0</v>
      </c>
      <c r="DM56">
        <f t="shared" si="57"/>
        <v>0</v>
      </c>
      <c r="DO56">
        <f t="shared" si="58"/>
        <v>86.5</v>
      </c>
    </row>
    <row r="57" spans="1:119" x14ac:dyDescent="0.35">
      <c r="A57" t="s">
        <v>63</v>
      </c>
      <c r="B57">
        <v>56</v>
      </c>
      <c r="C57" s="10">
        <v>1.5</v>
      </c>
      <c r="D57">
        <v>0</v>
      </c>
      <c r="E57">
        <v>0</v>
      </c>
      <c r="F57">
        <v>1.5</v>
      </c>
      <c r="G57">
        <v>10</v>
      </c>
      <c r="H57">
        <v>0</v>
      </c>
      <c r="I57">
        <v>0</v>
      </c>
      <c r="J57">
        <v>3</v>
      </c>
      <c r="K57">
        <v>3</v>
      </c>
      <c r="L57">
        <v>1.5</v>
      </c>
      <c r="M57">
        <v>0</v>
      </c>
      <c r="N57">
        <v>1.5</v>
      </c>
      <c r="O57">
        <v>1.5</v>
      </c>
      <c r="P57">
        <v>1.5</v>
      </c>
      <c r="Q57">
        <v>1.5</v>
      </c>
      <c r="R57">
        <v>1.5</v>
      </c>
      <c r="S57">
        <v>1.5</v>
      </c>
      <c r="T57">
        <v>1.5</v>
      </c>
      <c r="U57">
        <v>1.5</v>
      </c>
      <c r="V57">
        <v>1.5</v>
      </c>
      <c r="W57">
        <v>10</v>
      </c>
      <c r="X57">
        <v>0</v>
      </c>
      <c r="Y57">
        <v>10</v>
      </c>
      <c r="Z57">
        <v>1.5</v>
      </c>
      <c r="AA57">
        <v>3</v>
      </c>
      <c r="AB57">
        <v>1.5</v>
      </c>
      <c r="AC57">
        <v>10</v>
      </c>
      <c r="AD57">
        <v>3</v>
      </c>
      <c r="AE57">
        <v>1.5</v>
      </c>
      <c r="AF57">
        <v>1.5</v>
      </c>
      <c r="AG57">
        <v>1.5</v>
      </c>
      <c r="AH57">
        <v>0</v>
      </c>
      <c r="AI57">
        <v>1.5</v>
      </c>
      <c r="AJ57">
        <v>1.5</v>
      </c>
      <c r="AK57">
        <v>10</v>
      </c>
      <c r="AL57">
        <v>0</v>
      </c>
      <c r="AM57">
        <v>0</v>
      </c>
      <c r="AN57">
        <v>3</v>
      </c>
      <c r="AO57">
        <v>0</v>
      </c>
      <c r="AP57">
        <v>1.5</v>
      </c>
      <c r="AQ57">
        <v>1.5</v>
      </c>
      <c r="AR57">
        <v>1.5</v>
      </c>
      <c r="AS57">
        <v>0</v>
      </c>
      <c r="AT57">
        <v>3</v>
      </c>
      <c r="AU57">
        <v>10</v>
      </c>
      <c r="AV57">
        <v>1.5</v>
      </c>
      <c r="AW57">
        <v>10</v>
      </c>
      <c r="AX57">
        <v>3</v>
      </c>
      <c r="AY57">
        <v>1.5</v>
      </c>
      <c r="AZ57">
        <v>0</v>
      </c>
      <c r="BA57">
        <v>10</v>
      </c>
      <c r="BB57">
        <v>1.5</v>
      </c>
      <c r="BC57">
        <v>0</v>
      </c>
      <c r="BD57">
        <v>0</v>
      </c>
      <c r="BE57">
        <v>0</v>
      </c>
      <c r="BF57">
        <v>10</v>
      </c>
      <c r="BG57">
        <v>10</v>
      </c>
      <c r="BI57">
        <f t="shared" si="1"/>
        <v>1.5</v>
      </c>
      <c r="BJ57">
        <f t="shared" si="2"/>
        <v>0</v>
      </c>
      <c r="BK57">
        <f t="shared" si="3"/>
        <v>0</v>
      </c>
      <c r="BL57">
        <f t="shared" si="4"/>
        <v>1.5</v>
      </c>
      <c r="BM57">
        <f t="shared" si="5"/>
        <v>0</v>
      </c>
      <c r="BN57">
        <f t="shared" si="6"/>
        <v>0</v>
      </c>
      <c r="BO57">
        <f t="shared" si="7"/>
        <v>0</v>
      </c>
      <c r="BP57">
        <f t="shared" si="8"/>
        <v>3</v>
      </c>
      <c r="BQ57">
        <f t="shared" si="9"/>
        <v>3</v>
      </c>
      <c r="BR57">
        <f t="shared" si="10"/>
        <v>0</v>
      </c>
      <c r="BS57">
        <f t="shared" si="11"/>
        <v>0</v>
      </c>
      <c r="BT57">
        <f t="shared" si="12"/>
        <v>0</v>
      </c>
      <c r="BU57">
        <f t="shared" si="13"/>
        <v>0</v>
      </c>
      <c r="BV57">
        <f t="shared" si="14"/>
        <v>1.5</v>
      </c>
      <c r="BW57">
        <f t="shared" si="15"/>
        <v>1.5</v>
      </c>
      <c r="BX57">
        <f t="shared" si="16"/>
        <v>0</v>
      </c>
      <c r="BY57">
        <f t="shared" si="17"/>
        <v>1.5</v>
      </c>
      <c r="BZ57">
        <f t="shared" si="18"/>
        <v>1.5</v>
      </c>
      <c r="CA57">
        <f t="shared" si="19"/>
        <v>0</v>
      </c>
      <c r="CB57">
        <f t="shared" si="20"/>
        <v>1.5</v>
      </c>
      <c r="CC57">
        <f t="shared" si="21"/>
        <v>0</v>
      </c>
      <c r="CD57">
        <f t="shared" si="22"/>
        <v>0</v>
      </c>
      <c r="CE57">
        <f t="shared" si="23"/>
        <v>0</v>
      </c>
      <c r="CF57">
        <f t="shared" si="24"/>
        <v>0</v>
      </c>
      <c r="CG57">
        <f t="shared" si="25"/>
        <v>0</v>
      </c>
      <c r="CH57">
        <f t="shared" si="26"/>
        <v>0</v>
      </c>
      <c r="CI57">
        <f t="shared" si="27"/>
        <v>0</v>
      </c>
      <c r="CJ57">
        <f t="shared" si="28"/>
        <v>0</v>
      </c>
      <c r="CK57">
        <f t="shared" si="29"/>
        <v>0</v>
      </c>
      <c r="CL57">
        <f t="shared" si="30"/>
        <v>0</v>
      </c>
      <c r="CM57">
        <f t="shared" si="31"/>
        <v>0</v>
      </c>
      <c r="CN57">
        <f t="shared" si="32"/>
        <v>0</v>
      </c>
      <c r="CO57">
        <f t="shared" si="33"/>
        <v>0</v>
      </c>
      <c r="CP57">
        <f t="shared" si="34"/>
        <v>0</v>
      </c>
      <c r="CQ57">
        <f t="shared" si="35"/>
        <v>0</v>
      </c>
      <c r="CR57">
        <f t="shared" si="36"/>
        <v>0</v>
      </c>
      <c r="CS57">
        <f t="shared" si="37"/>
        <v>0</v>
      </c>
      <c r="CT57">
        <f t="shared" si="38"/>
        <v>0</v>
      </c>
      <c r="CU57">
        <f t="shared" si="39"/>
        <v>0</v>
      </c>
      <c r="CV57">
        <f t="shared" si="40"/>
        <v>0</v>
      </c>
      <c r="CW57">
        <f t="shared" si="41"/>
        <v>0</v>
      </c>
      <c r="CX57">
        <f t="shared" si="42"/>
        <v>1.5</v>
      </c>
      <c r="CY57">
        <f t="shared" si="43"/>
        <v>0</v>
      </c>
      <c r="CZ57">
        <f t="shared" si="44"/>
        <v>0</v>
      </c>
      <c r="DA57">
        <f t="shared" si="45"/>
        <v>0</v>
      </c>
      <c r="DB57">
        <f t="shared" si="46"/>
        <v>0</v>
      </c>
      <c r="DC57">
        <f t="shared" si="47"/>
        <v>0</v>
      </c>
      <c r="DD57">
        <f t="shared" si="48"/>
        <v>3</v>
      </c>
      <c r="DE57">
        <f t="shared" si="49"/>
        <v>0</v>
      </c>
      <c r="DF57">
        <f t="shared" si="50"/>
        <v>0</v>
      </c>
      <c r="DG57">
        <f t="shared" si="51"/>
        <v>10</v>
      </c>
      <c r="DH57">
        <f t="shared" si="52"/>
        <v>0</v>
      </c>
      <c r="DI57">
        <f t="shared" si="53"/>
        <v>0</v>
      </c>
      <c r="DJ57">
        <f t="shared" si="54"/>
        <v>0</v>
      </c>
      <c r="DK57">
        <f t="shared" si="55"/>
        <v>0</v>
      </c>
      <c r="DL57">
        <f t="shared" si="56"/>
        <v>0</v>
      </c>
      <c r="DM57">
        <f t="shared" si="57"/>
        <v>10</v>
      </c>
      <c r="DO57">
        <f t="shared" si="58"/>
        <v>41</v>
      </c>
    </row>
    <row r="58" spans="1:119" x14ac:dyDescent="0.35">
      <c r="A58" t="s">
        <v>64</v>
      </c>
      <c r="B58">
        <v>57</v>
      </c>
      <c r="C58" s="10">
        <v>1.5</v>
      </c>
      <c r="D58">
        <v>3</v>
      </c>
      <c r="E58">
        <v>1.5</v>
      </c>
      <c r="F58">
        <v>10</v>
      </c>
      <c r="G58">
        <v>10</v>
      </c>
      <c r="H58">
        <v>0</v>
      </c>
      <c r="I58">
        <v>0</v>
      </c>
      <c r="J58">
        <v>1.5</v>
      </c>
      <c r="K58">
        <v>10</v>
      </c>
      <c r="L58">
        <v>1.5</v>
      </c>
      <c r="M58">
        <v>1.5</v>
      </c>
      <c r="N58">
        <v>0</v>
      </c>
      <c r="O58">
        <v>0</v>
      </c>
      <c r="P58">
        <v>10</v>
      </c>
      <c r="Q58">
        <v>3</v>
      </c>
      <c r="R58">
        <v>1.5</v>
      </c>
      <c r="S58">
        <v>1.5</v>
      </c>
      <c r="T58">
        <v>1.5</v>
      </c>
      <c r="U58">
        <v>0</v>
      </c>
      <c r="V58">
        <v>1.5</v>
      </c>
      <c r="W58">
        <v>3</v>
      </c>
      <c r="X58">
        <v>0</v>
      </c>
      <c r="Y58">
        <v>1.5</v>
      </c>
      <c r="Z58">
        <v>1.5</v>
      </c>
      <c r="AA58">
        <v>3</v>
      </c>
      <c r="AB58">
        <v>1.5</v>
      </c>
      <c r="AC58">
        <v>1.5</v>
      </c>
      <c r="AD58">
        <v>1.5</v>
      </c>
      <c r="AE58">
        <v>0</v>
      </c>
      <c r="AF58">
        <v>1.5</v>
      </c>
      <c r="AG58">
        <v>1.5</v>
      </c>
      <c r="AH58">
        <v>0</v>
      </c>
      <c r="AI58">
        <v>3</v>
      </c>
      <c r="AJ58">
        <v>3</v>
      </c>
      <c r="AK58">
        <v>3</v>
      </c>
      <c r="AL58">
        <v>1.5</v>
      </c>
      <c r="AM58">
        <v>3</v>
      </c>
      <c r="AN58">
        <v>1.5</v>
      </c>
      <c r="AO58">
        <v>0</v>
      </c>
      <c r="AP58">
        <v>1.5</v>
      </c>
      <c r="AQ58">
        <v>1.5</v>
      </c>
      <c r="AR58">
        <v>10</v>
      </c>
      <c r="AS58">
        <v>1.5</v>
      </c>
      <c r="AT58">
        <v>1.5</v>
      </c>
      <c r="AU58">
        <v>1.5</v>
      </c>
      <c r="AV58">
        <v>1.5</v>
      </c>
      <c r="AW58">
        <v>1.5</v>
      </c>
      <c r="AX58">
        <v>10</v>
      </c>
      <c r="AY58">
        <v>3</v>
      </c>
      <c r="AZ58">
        <v>1.5</v>
      </c>
      <c r="BA58">
        <v>10</v>
      </c>
      <c r="BB58">
        <v>1.5</v>
      </c>
      <c r="BC58">
        <v>1.5</v>
      </c>
      <c r="BD58">
        <v>1.5</v>
      </c>
      <c r="BE58">
        <v>0</v>
      </c>
      <c r="BF58">
        <v>10</v>
      </c>
      <c r="BG58">
        <v>10</v>
      </c>
      <c r="BI58">
        <f t="shared" si="1"/>
        <v>1.5</v>
      </c>
      <c r="BJ58">
        <f t="shared" si="2"/>
        <v>0</v>
      </c>
      <c r="BK58">
        <f t="shared" si="3"/>
        <v>0</v>
      </c>
      <c r="BL58">
        <f t="shared" si="4"/>
        <v>10</v>
      </c>
      <c r="BM58">
        <f t="shared" si="5"/>
        <v>0</v>
      </c>
      <c r="BN58">
        <f t="shared" si="6"/>
        <v>0</v>
      </c>
      <c r="BO58">
        <f t="shared" si="7"/>
        <v>0</v>
      </c>
      <c r="BP58">
        <f t="shared" si="8"/>
        <v>1.5</v>
      </c>
      <c r="BQ58">
        <f t="shared" si="9"/>
        <v>10</v>
      </c>
      <c r="BR58">
        <f t="shared" si="10"/>
        <v>0</v>
      </c>
      <c r="BS58">
        <f t="shared" si="11"/>
        <v>0</v>
      </c>
      <c r="BT58">
        <f t="shared" si="12"/>
        <v>0</v>
      </c>
      <c r="BU58">
        <f t="shared" si="13"/>
        <v>0</v>
      </c>
      <c r="BV58">
        <f t="shared" si="14"/>
        <v>10</v>
      </c>
      <c r="BW58">
        <f t="shared" si="15"/>
        <v>3</v>
      </c>
      <c r="BX58">
        <f t="shared" si="16"/>
        <v>0</v>
      </c>
      <c r="BY58">
        <f t="shared" si="17"/>
        <v>1.5</v>
      </c>
      <c r="BZ58">
        <f t="shared" si="18"/>
        <v>1.5</v>
      </c>
      <c r="CA58">
        <f t="shared" si="19"/>
        <v>0</v>
      </c>
      <c r="CB58">
        <f t="shared" si="20"/>
        <v>1.5</v>
      </c>
      <c r="CC58">
        <f t="shared" si="21"/>
        <v>0</v>
      </c>
      <c r="CD58">
        <f t="shared" si="22"/>
        <v>0</v>
      </c>
      <c r="CE58">
        <f t="shared" si="23"/>
        <v>0</v>
      </c>
      <c r="CF58">
        <f t="shared" si="24"/>
        <v>0</v>
      </c>
      <c r="CG58">
        <f t="shared" si="25"/>
        <v>0</v>
      </c>
      <c r="CH58">
        <f t="shared" si="26"/>
        <v>0</v>
      </c>
      <c r="CI58">
        <f t="shared" si="27"/>
        <v>0</v>
      </c>
      <c r="CJ58">
        <f t="shared" si="28"/>
        <v>0</v>
      </c>
      <c r="CK58">
        <f t="shared" si="29"/>
        <v>0</v>
      </c>
      <c r="CL58">
        <f t="shared" si="30"/>
        <v>0</v>
      </c>
      <c r="CM58">
        <f t="shared" si="31"/>
        <v>0</v>
      </c>
      <c r="CN58">
        <f t="shared" si="32"/>
        <v>0</v>
      </c>
      <c r="CO58">
        <f t="shared" si="33"/>
        <v>0</v>
      </c>
      <c r="CP58">
        <f t="shared" si="34"/>
        <v>0</v>
      </c>
      <c r="CQ58">
        <f t="shared" si="35"/>
        <v>0</v>
      </c>
      <c r="CR58">
        <f t="shared" si="36"/>
        <v>0</v>
      </c>
      <c r="CS58">
        <f t="shared" si="37"/>
        <v>0</v>
      </c>
      <c r="CT58">
        <f t="shared" si="38"/>
        <v>0</v>
      </c>
      <c r="CU58">
        <f t="shared" si="39"/>
        <v>0</v>
      </c>
      <c r="CV58">
        <f t="shared" si="40"/>
        <v>0</v>
      </c>
      <c r="CW58">
        <f t="shared" si="41"/>
        <v>0</v>
      </c>
      <c r="CX58">
        <f t="shared" si="42"/>
        <v>10</v>
      </c>
      <c r="CY58">
        <f t="shared" si="43"/>
        <v>0</v>
      </c>
      <c r="CZ58">
        <f t="shared" si="44"/>
        <v>0</v>
      </c>
      <c r="DA58">
        <f t="shared" si="45"/>
        <v>0</v>
      </c>
      <c r="DB58">
        <f t="shared" si="46"/>
        <v>0</v>
      </c>
      <c r="DC58">
        <f t="shared" si="47"/>
        <v>0</v>
      </c>
      <c r="DD58">
        <f t="shared" si="48"/>
        <v>10</v>
      </c>
      <c r="DE58">
        <f t="shared" si="49"/>
        <v>0</v>
      </c>
      <c r="DF58">
        <f t="shared" si="50"/>
        <v>0</v>
      </c>
      <c r="DG58">
        <f t="shared" si="51"/>
        <v>10</v>
      </c>
      <c r="DH58">
        <f t="shared" si="52"/>
        <v>0</v>
      </c>
      <c r="DI58">
        <f t="shared" si="53"/>
        <v>0</v>
      </c>
      <c r="DJ58">
        <f t="shared" si="54"/>
        <v>0</v>
      </c>
      <c r="DK58">
        <f t="shared" si="55"/>
        <v>0</v>
      </c>
      <c r="DL58">
        <f t="shared" si="56"/>
        <v>0</v>
      </c>
      <c r="DM58">
        <f t="shared" si="57"/>
        <v>10</v>
      </c>
      <c r="DO58">
        <f t="shared" si="58"/>
        <v>80.5</v>
      </c>
    </row>
    <row r="59" spans="1:119" x14ac:dyDescent="0.35">
      <c r="C59" s="10" t="s">
        <v>23</v>
      </c>
      <c r="D59" t="s">
        <v>75</v>
      </c>
      <c r="E59" t="s">
        <v>24</v>
      </c>
      <c r="F59" t="s">
        <v>25</v>
      </c>
      <c r="G59" t="s">
        <v>26</v>
      </c>
      <c r="H59" t="s">
        <v>27</v>
      </c>
      <c r="I59" t="s">
        <v>28</v>
      </c>
      <c r="J59" t="s">
        <v>68</v>
      </c>
      <c r="K59" t="s">
        <v>74</v>
      </c>
      <c r="L59" t="s">
        <v>29</v>
      </c>
      <c r="M59" t="s">
        <v>30</v>
      </c>
      <c r="N59" t="s">
        <v>73</v>
      </c>
      <c r="O59" t="s">
        <v>31</v>
      </c>
      <c r="P59" t="s">
        <v>32</v>
      </c>
      <c r="Q59" t="s">
        <v>77</v>
      </c>
      <c r="R59" t="s">
        <v>33</v>
      </c>
      <c r="S59" t="s">
        <v>34</v>
      </c>
      <c r="T59" t="s">
        <v>35</v>
      </c>
      <c r="U59" t="s">
        <v>21</v>
      </c>
      <c r="V59" t="s">
        <v>36</v>
      </c>
      <c r="W59" t="s">
        <v>37</v>
      </c>
      <c r="X59" t="s">
        <v>38</v>
      </c>
      <c r="Y59" t="s">
        <v>39</v>
      </c>
      <c r="Z59" t="s">
        <v>40</v>
      </c>
      <c r="AA59" t="s">
        <v>41</v>
      </c>
      <c r="AB59" t="s">
        <v>76</v>
      </c>
      <c r="AC59" t="s">
        <v>42</v>
      </c>
      <c r="AD59" t="s">
        <v>43</v>
      </c>
      <c r="AE59" t="s">
        <v>72</v>
      </c>
      <c r="AF59" t="s">
        <v>44</v>
      </c>
      <c r="AG59" t="s">
        <v>22</v>
      </c>
      <c r="AH59" t="s">
        <v>45</v>
      </c>
      <c r="AI59" t="s">
        <v>46</v>
      </c>
      <c r="AJ59" t="s">
        <v>69</v>
      </c>
      <c r="AK59" t="s">
        <v>47</v>
      </c>
      <c r="AL59" t="s">
        <v>67</v>
      </c>
      <c r="AM59" t="s">
        <v>71</v>
      </c>
      <c r="AN59" t="s">
        <v>48</v>
      </c>
      <c r="AO59" t="s">
        <v>49</v>
      </c>
      <c r="AP59" t="s">
        <v>20</v>
      </c>
      <c r="AQ59" t="s">
        <v>66</v>
      </c>
      <c r="AR59" t="s">
        <v>50</v>
      </c>
      <c r="AS59" t="s">
        <v>51</v>
      </c>
      <c r="AT59" t="s">
        <v>52</v>
      </c>
      <c r="AU59" t="s">
        <v>53</v>
      </c>
      <c r="AV59" t="s">
        <v>54</v>
      </c>
      <c r="AW59" t="s">
        <v>70</v>
      </c>
      <c r="AX59" t="s">
        <v>55</v>
      </c>
      <c r="AY59" t="s">
        <v>56</v>
      </c>
      <c r="AZ59" t="s">
        <v>57</v>
      </c>
      <c r="BA59" t="s">
        <v>58</v>
      </c>
      <c r="BB59" t="s">
        <v>59</v>
      </c>
      <c r="BC59" t="s">
        <v>60</v>
      </c>
      <c r="BD59" t="s">
        <v>61</v>
      </c>
      <c r="BE59" t="s">
        <v>62</v>
      </c>
      <c r="BF59" t="s">
        <v>63</v>
      </c>
      <c r="BG59" t="s">
        <v>64</v>
      </c>
    </row>
    <row r="60" spans="1:119" x14ac:dyDescent="0.35">
      <c r="A60" t="s">
        <v>290</v>
      </c>
      <c r="C60" s="10">
        <f>COUNTIF(AlphaChess!$L:$L,crl!C$59)</f>
        <v>1</v>
      </c>
      <c r="D60">
        <f>COUNTIF(AlphaChess!$L:$L,crl!D$59)</f>
        <v>0</v>
      </c>
      <c r="E60">
        <f>COUNTIF(AlphaChess!$L:$L,crl!E$59)</f>
        <v>0</v>
      </c>
      <c r="F60">
        <f>COUNTIF(AlphaChess!$L:$L,crl!F$59)</f>
        <v>1</v>
      </c>
      <c r="G60">
        <f>COUNTIF(AlphaChess!$L:$L,crl!G$59)</f>
        <v>0</v>
      </c>
      <c r="H60">
        <f>COUNTIF(AlphaChess!$L:$L,crl!H$59)</f>
        <v>0</v>
      </c>
      <c r="I60">
        <f>COUNTIF(AlphaChess!$L:$L,crl!I$59)</f>
        <v>1</v>
      </c>
      <c r="J60">
        <f>COUNTIF(AlphaChess!$L:$L,crl!J$59)</f>
        <v>1</v>
      </c>
      <c r="K60">
        <f>COUNTIF(AlphaChess!$L:$L,crl!K$59)</f>
        <v>1</v>
      </c>
      <c r="L60">
        <f>COUNTIF(AlphaChess!$L:$L,crl!L$59)</f>
        <v>0</v>
      </c>
      <c r="M60">
        <f>COUNTIF(AlphaChess!$L:$L,crl!M$59)</f>
        <v>0</v>
      </c>
      <c r="N60">
        <f>COUNTIF(AlphaChess!$L:$L,crl!N$59)</f>
        <v>0</v>
      </c>
      <c r="O60">
        <f>COUNTIF(AlphaChess!$L:$L,crl!O$59)</f>
        <v>0</v>
      </c>
      <c r="P60">
        <f>COUNTIF(AlphaChess!$L:$L,crl!P$59)</f>
        <v>1</v>
      </c>
      <c r="Q60">
        <f>COUNTIF(AlphaChess!$L:$L,crl!Q$59)</f>
        <v>1</v>
      </c>
      <c r="R60">
        <f>COUNTIF(AlphaChess!$L:$L,crl!R$59)</f>
        <v>0</v>
      </c>
      <c r="S60">
        <f>COUNTIF(AlphaChess!$L:$L,crl!S$59)</f>
        <v>1</v>
      </c>
      <c r="T60">
        <f>COUNTIF(AlphaChess!$L:$L,crl!T$59)</f>
        <v>1</v>
      </c>
      <c r="U60">
        <f>COUNTIF(AlphaChess!$L:$L,crl!U$59)</f>
        <v>0</v>
      </c>
      <c r="V60">
        <f>COUNTIF(AlphaChess!$L:$L,crl!V$59)</f>
        <v>1</v>
      </c>
      <c r="W60">
        <f>COUNTIF(AlphaChess!$L:$L,crl!W$59)</f>
        <v>0</v>
      </c>
      <c r="X60">
        <f>COUNTIF(AlphaChess!$L:$L,crl!X$59)</f>
        <v>0</v>
      </c>
      <c r="Y60">
        <f>COUNTIF(AlphaChess!$L:$L,crl!Y$59)</f>
        <v>0</v>
      </c>
      <c r="Z60">
        <f>COUNTIF(AlphaChess!$L:$L,crl!Z$59)</f>
        <v>0</v>
      </c>
      <c r="AA60">
        <f>COUNTIF(AlphaChess!$L:$L,crl!AA$59)</f>
        <v>0</v>
      </c>
      <c r="AB60">
        <f>COUNTIF(AlphaChess!$L:$L,crl!AB$59)</f>
        <v>0</v>
      </c>
      <c r="AC60">
        <f>COUNTIF(AlphaChess!$L:$L,crl!AC$59)</f>
        <v>0</v>
      </c>
      <c r="AD60">
        <f>COUNTIF(AlphaChess!$L:$L,crl!AD$59)</f>
        <v>0</v>
      </c>
      <c r="AE60">
        <f>COUNTIF(AlphaChess!$L:$L,crl!AE$59)</f>
        <v>0</v>
      </c>
      <c r="AF60">
        <f>COUNTIF(AlphaChess!$L:$L,crl!AF$59)</f>
        <v>0</v>
      </c>
      <c r="AG60">
        <f>COUNTIF(AlphaChess!$L:$L,crl!AG$59)</f>
        <v>0</v>
      </c>
      <c r="AH60">
        <f>COUNTIF(AlphaChess!$L:$L,crl!AH$59)</f>
        <v>0</v>
      </c>
      <c r="AI60">
        <f>COUNTIF(AlphaChess!$L:$L,crl!AI$59)</f>
        <v>0</v>
      </c>
      <c r="AJ60">
        <f>COUNTIF(AlphaChess!$L:$L,crl!AJ$59)</f>
        <v>0</v>
      </c>
      <c r="AK60">
        <f>COUNTIF(AlphaChess!$L:$L,crl!AK$59)</f>
        <v>0</v>
      </c>
      <c r="AL60">
        <f>COUNTIF(AlphaChess!$L:$L,crl!AL$59)</f>
        <v>0</v>
      </c>
      <c r="AM60">
        <f>COUNTIF(AlphaChess!$L:$L,crl!AM$59)</f>
        <v>0</v>
      </c>
      <c r="AN60">
        <f>COUNTIF(AlphaChess!$L:$L,crl!AN$59)</f>
        <v>0</v>
      </c>
      <c r="AO60">
        <f>COUNTIF(AlphaChess!$L:$L,crl!AO$59)</f>
        <v>1</v>
      </c>
      <c r="AP60">
        <f>COUNTIF(AlphaChess!$L:$L,crl!AP$59)</f>
        <v>0</v>
      </c>
      <c r="AQ60">
        <f>COUNTIF(AlphaChess!$L:$L,crl!AQ$59)</f>
        <v>0</v>
      </c>
      <c r="AR60">
        <f>COUNTIF(AlphaChess!$L:$L,crl!AR$59)</f>
        <v>1</v>
      </c>
      <c r="AS60">
        <f>COUNTIF(AlphaChess!$L:$L,crl!AS$59)</f>
        <v>0</v>
      </c>
      <c r="AT60">
        <f>COUNTIF(AlphaChess!$L:$L,crl!AT$59)</f>
        <v>0</v>
      </c>
      <c r="AU60">
        <f>COUNTIF(AlphaChess!$L:$L,crl!AU$59)</f>
        <v>0</v>
      </c>
      <c r="AV60">
        <f>COUNTIF(AlphaChess!$L:$L,crl!AV$59)</f>
        <v>0</v>
      </c>
      <c r="AW60">
        <f>COUNTIF(AlphaChess!$L:$L,crl!AW$59)</f>
        <v>0</v>
      </c>
      <c r="AX60">
        <f>COUNTIF(AlphaChess!$L:$L,crl!AX$59)</f>
        <v>1</v>
      </c>
      <c r="AY60">
        <f>COUNTIF(AlphaChess!$L:$L,crl!AY$59)</f>
        <v>0</v>
      </c>
      <c r="AZ60">
        <f>COUNTIF(AlphaChess!$L:$L,crl!AZ$59)</f>
        <v>0</v>
      </c>
      <c r="BA60">
        <f>COUNTIF(AlphaChess!$L:$L,crl!BA$59)</f>
        <v>1</v>
      </c>
      <c r="BB60">
        <f>COUNTIF(AlphaChess!$L:$L,crl!BB$59)</f>
        <v>0</v>
      </c>
      <c r="BC60">
        <f>COUNTIF(AlphaChess!$L:$L,crl!BC$59)</f>
        <v>0</v>
      </c>
      <c r="BD60">
        <f>COUNTIF(AlphaChess!$L:$L,crl!BD$59)</f>
        <v>0</v>
      </c>
      <c r="BE60">
        <f>COUNTIF(AlphaChess!$L:$L,crl!BE$59)</f>
        <v>1</v>
      </c>
      <c r="BF60">
        <f>COUNTIF(AlphaChess!$L:$L,crl!BF$59)</f>
        <v>0</v>
      </c>
      <c r="BG60">
        <f>COUNTIF(AlphaChess!$L:$L,crl!BG$59)</f>
        <v>1</v>
      </c>
    </row>
    <row r="61" spans="1:119" x14ac:dyDescent="0.35">
      <c r="A61" t="s">
        <v>291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9497A-41B1-42EA-BB2D-625BA3B030AD}">
  <sheetPr codeName="Sheet4"/>
  <dimension ref="A1:I58"/>
  <sheetViews>
    <sheetView topLeftCell="A10" workbookViewId="0">
      <selection activeCell="A40" sqref="A40:C40"/>
    </sheetView>
  </sheetViews>
  <sheetFormatPr defaultRowHeight="14.5" x14ac:dyDescent="0.35"/>
  <cols>
    <col min="1" max="1" width="11.90625" bestFit="1" customWidth="1"/>
    <col min="2" max="2" width="4.6328125" bestFit="1" customWidth="1"/>
    <col min="3" max="4" width="4.54296875" bestFit="1" customWidth="1"/>
    <col min="5" max="6" width="4.81640625" bestFit="1" customWidth="1"/>
    <col min="7" max="9" width="11.453125" bestFit="1" customWidth="1"/>
  </cols>
  <sheetData>
    <row r="1" spans="1:9" x14ac:dyDescent="0.35">
      <c r="A1" s="3"/>
      <c r="B1" s="3" t="s">
        <v>79</v>
      </c>
      <c r="C1" s="3" t="s">
        <v>80</v>
      </c>
      <c r="D1" s="3" t="s">
        <v>81</v>
      </c>
      <c r="E1" s="3" t="s">
        <v>82</v>
      </c>
      <c r="F1" t="s">
        <v>83</v>
      </c>
      <c r="G1" t="s">
        <v>273</v>
      </c>
      <c r="H1" t="s">
        <v>274</v>
      </c>
      <c r="I1" t="s">
        <v>275</v>
      </c>
    </row>
    <row r="2" spans="1:9" x14ac:dyDescent="0.35">
      <c r="A2" s="3" t="s">
        <v>23</v>
      </c>
      <c r="B2" s="3">
        <v>1</v>
      </c>
      <c r="C2" s="3">
        <v>9</v>
      </c>
      <c r="D2" s="3"/>
      <c r="E2" s="3">
        <v>9</v>
      </c>
      <c r="G2">
        <v>100</v>
      </c>
      <c r="H2">
        <v>200</v>
      </c>
      <c r="I2">
        <v>400</v>
      </c>
    </row>
    <row r="3" spans="1:9" x14ac:dyDescent="0.35">
      <c r="A3" s="3" t="s">
        <v>75</v>
      </c>
      <c r="B3" s="3">
        <v>5</v>
      </c>
      <c r="C3" s="3">
        <v>11</v>
      </c>
      <c r="D3" s="3"/>
      <c r="E3" s="3">
        <v>11</v>
      </c>
      <c r="G3">
        <v>180</v>
      </c>
      <c r="H3">
        <v>360</v>
      </c>
      <c r="I3">
        <v>720</v>
      </c>
    </row>
    <row r="4" spans="1:9" x14ac:dyDescent="0.35">
      <c r="A4" s="3" t="s">
        <v>24</v>
      </c>
      <c r="B4" s="3">
        <v>4</v>
      </c>
      <c r="C4" s="3">
        <v>8</v>
      </c>
      <c r="D4" s="3"/>
      <c r="E4" s="3">
        <v>11</v>
      </c>
      <c r="G4">
        <v>160</v>
      </c>
      <c r="H4">
        <v>320</v>
      </c>
      <c r="I4">
        <v>640</v>
      </c>
    </row>
    <row r="5" spans="1:9" x14ac:dyDescent="0.35">
      <c r="A5" s="3" t="s">
        <v>25</v>
      </c>
      <c r="B5" s="3">
        <v>3</v>
      </c>
      <c r="C5" s="3">
        <v>3</v>
      </c>
      <c r="D5" s="3"/>
      <c r="E5" s="3">
        <v>11</v>
      </c>
      <c r="G5">
        <v>140</v>
      </c>
      <c r="H5">
        <v>280</v>
      </c>
      <c r="I5">
        <v>560</v>
      </c>
    </row>
    <row r="6" spans="1:9" x14ac:dyDescent="0.35">
      <c r="A6" s="3" t="s">
        <v>26</v>
      </c>
      <c r="B6" s="3">
        <v>2</v>
      </c>
      <c r="C6" s="3">
        <v>1</v>
      </c>
      <c r="D6" s="3"/>
      <c r="E6" s="3">
        <v>14</v>
      </c>
      <c r="G6">
        <v>120</v>
      </c>
      <c r="H6">
        <v>240</v>
      </c>
      <c r="I6">
        <v>480</v>
      </c>
    </row>
    <row r="7" spans="1:9" x14ac:dyDescent="0.35">
      <c r="A7" s="3" t="s">
        <v>27</v>
      </c>
      <c r="B7" s="3">
        <v>4</v>
      </c>
      <c r="C7" s="3">
        <v>8</v>
      </c>
      <c r="D7" s="3"/>
      <c r="E7" s="3">
        <v>1</v>
      </c>
      <c r="G7">
        <v>160</v>
      </c>
      <c r="H7">
        <v>320</v>
      </c>
      <c r="I7">
        <v>640</v>
      </c>
    </row>
    <row r="8" spans="1:9" x14ac:dyDescent="0.35">
      <c r="A8" s="3" t="s">
        <v>28</v>
      </c>
      <c r="B8" s="3">
        <v>4</v>
      </c>
      <c r="C8" s="3">
        <v>4</v>
      </c>
      <c r="D8" s="3"/>
      <c r="E8" s="3">
        <v>9</v>
      </c>
      <c r="G8">
        <v>160</v>
      </c>
      <c r="H8">
        <v>320</v>
      </c>
      <c r="I8">
        <v>640</v>
      </c>
    </row>
    <row r="9" spans="1:9" x14ac:dyDescent="0.35">
      <c r="A9" s="3" t="s">
        <v>68</v>
      </c>
      <c r="B9" s="3">
        <v>4</v>
      </c>
      <c r="C9" s="3">
        <v>1</v>
      </c>
      <c r="D9" s="3">
        <v>10</v>
      </c>
      <c r="E9" s="3">
        <v>10</v>
      </c>
      <c r="G9">
        <v>160</v>
      </c>
      <c r="H9">
        <v>320</v>
      </c>
      <c r="I9">
        <v>640</v>
      </c>
    </row>
    <row r="10" spans="1:9" x14ac:dyDescent="0.35">
      <c r="A10" s="3" t="s">
        <v>74</v>
      </c>
      <c r="B10" s="3">
        <v>4</v>
      </c>
      <c r="C10" s="3">
        <v>3</v>
      </c>
      <c r="D10" s="3">
        <v>11</v>
      </c>
      <c r="E10" s="3">
        <v>8</v>
      </c>
      <c r="G10">
        <v>160</v>
      </c>
      <c r="H10">
        <v>320</v>
      </c>
      <c r="I10">
        <v>640</v>
      </c>
    </row>
    <row r="11" spans="1:9" x14ac:dyDescent="0.35">
      <c r="A11" s="3" t="s">
        <v>29</v>
      </c>
      <c r="B11" s="3">
        <v>5</v>
      </c>
      <c r="C11" s="3">
        <v>2</v>
      </c>
      <c r="D11" s="3">
        <v>12</v>
      </c>
      <c r="E11" s="3">
        <v>8</v>
      </c>
      <c r="G11">
        <v>180</v>
      </c>
      <c r="H11">
        <v>360</v>
      </c>
      <c r="I11">
        <v>720</v>
      </c>
    </row>
    <row r="12" spans="1:9" x14ac:dyDescent="0.35">
      <c r="A12" s="3" t="s">
        <v>30</v>
      </c>
      <c r="B12" s="3">
        <v>1</v>
      </c>
      <c r="C12" s="3">
        <v>2</v>
      </c>
      <c r="D12" s="3"/>
      <c r="E12" s="3">
        <v>2</v>
      </c>
      <c r="G12">
        <v>100</v>
      </c>
      <c r="H12">
        <v>200</v>
      </c>
      <c r="I12">
        <v>400</v>
      </c>
    </row>
    <row r="13" spans="1:9" x14ac:dyDescent="0.35">
      <c r="A13" s="3" t="s">
        <v>73</v>
      </c>
      <c r="B13" s="3">
        <v>5</v>
      </c>
      <c r="C13" s="3">
        <v>6</v>
      </c>
      <c r="D13" s="3"/>
      <c r="E13" s="3">
        <v>10</v>
      </c>
      <c r="G13">
        <v>180</v>
      </c>
      <c r="H13">
        <v>360</v>
      </c>
      <c r="I13">
        <v>720</v>
      </c>
    </row>
    <row r="14" spans="1:9" x14ac:dyDescent="0.35">
      <c r="A14" s="3" t="s">
        <v>31</v>
      </c>
      <c r="B14" s="3">
        <v>2</v>
      </c>
      <c r="C14" s="3">
        <v>4</v>
      </c>
      <c r="D14" s="3"/>
      <c r="E14" s="3">
        <v>5</v>
      </c>
      <c r="G14">
        <v>120</v>
      </c>
      <c r="H14">
        <v>240</v>
      </c>
      <c r="I14">
        <v>480</v>
      </c>
    </row>
    <row r="15" spans="1:9" x14ac:dyDescent="0.35">
      <c r="A15" s="3" t="s">
        <v>32</v>
      </c>
      <c r="B15" s="3">
        <v>5</v>
      </c>
      <c r="C15" s="3">
        <v>3</v>
      </c>
      <c r="D15" s="3"/>
      <c r="E15" s="3">
        <v>4</v>
      </c>
      <c r="F15">
        <v>12</v>
      </c>
      <c r="G15">
        <v>180</v>
      </c>
      <c r="H15">
        <v>360</v>
      </c>
      <c r="I15">
        <v>720</v>
      </c>
    </row>
    <row r="16" spans="1:9" x14ac:dyDescent="0.35">
      <c r="A16" s="3" t="s">
        <v>77</v>
      </c>
      <c r="B16" s="3">
        <v>2</v>
      </c>
      <c r="C16" s="3">
        <v>11</v>
      </c>
      <c r="D16" s="3"/>
      <c r="E16" s="3">
        <v>9</v>
      </c>
      <c r="F16">
        <v>13</v>
      </c>
      <c r="G16">
        <v>120</v>
      </c>
      <c r="H16">
        <v>240</v>
      </c>
      <c r="I16">
        <v>480</v>
      </c>
    </row>
    <row r="17" spans="1:9" x14ac:dyDescent="0.35">
      <c r="A17" s="3" t="s">
        <v>33</v>
      </c>
      <c r="B17" s="3">
        <v>4</v>
      </c>
      <c r="C17" s="3">
        <v>10</v>
      </c>
      <c r="D17" s="3"/>
      <c r="E17" s="3">
        <v>7</v>
      </c>
      <c r="F17">
        <v>12</v>
      </c>
      <c r="G17">
        <v>160</v>
      </c>
      <c r="H17">
        <v>320</v>
      </c>
      <c r="I17">
        <v>640</v>
      </c>
    </row>
    <row r="18" spans="1:9" x14ac:dyDescent="0.35">
      <c r="A18" s="3" t="s">
        <v>34</v>
      </c>
      <c r="B18" s="3">
        <v>4</v>
      </c>
      <c r="C18" s="3">
        <v>7</v>
      </c>
      <c r="D18" s="3"/>
      <c r="E18" s="3">
        <v>13</v>
      </c>
      <c r="G18">
        <v>160</v>
      </c>
      <c r="H18">
        <v>320</v>
      </c>
      <c r="I18">
        <v>640</v>
      </c>
    </row>
    <row r="19" spans="1:9" x14ac:dyDescent="0.35">
      <c r="A19" s="3" t="s">
        <v>35</v>
      </c>
      <c r="B19" s="3">
        <v>1</v>
      </c>
      <c r="C19" s="3">
        <v>1</v>
      </c>
      <c r="D19" s="3"/>
      <c r="E19" s="3">
        <v>9</v>
      </c>
      <c r="G19">
        <v>100</v>
      </c>
      <c r="H19">
        <v>200</v>
      </c>
      <c r="I19">
        <v>400</v>
      </c>
    </row>
    <row r="20" spans="1:9" x14ac:dyDescent="0.35">
      <c r="A20" s="3" t="s">
        <v>21</v>
      </c>
      <c r="B20" s="3">
        <v>4</v>
      </c>
      <c r="C20" s="3">
        <v>2</v>
      </c>
      <c r="D20" s="3"/>
      <c r="E20" s="3">
        <v>7</v>
      </c>
      <c r="G20">
        <v>160</v>
      </c>
      <c r="H20">
        <v>320</v>
      </c>
      <c r="I20">
        <v>640</v>
      </c>
    </row>
    <row r="21" spans="1:9" x14ac:dyDescent="0.35">
      <c r="A21" s="3" t="s">
        <v>36</v>
      </c>
      <c r="B21" s="3">
        <v>5</v>
      </c>
      <c r="C21" s="3">
        <v>9</v>
      </c>
      <c r="D21" s="3"/>
      <c r="E21" s="3">
        <v>9</v>
      </c>
      <c r="G21">
        <v>180</v>
      </c>
      <c r="H21">
        <v>360</v>
      </c>
      <c r="I21">
        <v>720</v>
      </c>
    </row>
    <row r="22" spans="1:9" x14ac:dyDescent="0.35">
      <c r="A22" s="3" t="s">
        <v>37</v>
      </c>
      <c r="B22" s="3">
        <v>2</v>
      </c>
      <c r="C22" s="3">
        <v>5</v>
      </c>
      <c r="D22" s="3"/>
      <c r="E22" s="3">
        <v>13</v>
      </c>
      <c r="G22">
        <v>120</v>
      </c>
      <c r="H22">
        <v>240</v>
      </c>
      <c r="I22">
        <v>480</v>
      </c>
    </row>
    <row r="23" spans="1:9" x14ac:dyDescent="0.35">
      <c r="A23" s="3" t="s">
        <v>38</v>
      </c>
      <c r="B23" s="3">
        <v>1</v>
      </c>
      <c r="C23" s="3">
        <v>2</v>
      </c>
      <c r="D23" s="3"/>
      <c r="E23" s="3">
        <v>1</v>
      </c>
      <c r="G23">
        <v>100</v>
      </c>
      <c r="H23">
        <v>200</v>
      </c>
      <c r="I23">
        <v>400</v>
      </c>
    </row>
    <row r="24" spans="1:9" x14ac:dyDescent="0.35">
      <c r="A24" s="3" t="s">
        <v>39</v>
      </c>
      <c r="B24" s="3">
        <v>1</v>
      </c>
      <c r="C24" s="3">
        <v>5</v>
      </c>
      <c r="D24" s="3"/>
      <c r="E24" s="3">
        <v>5</v>
      </c>
      <c r="G24">
        <v>100</v>
      </c>
      <c r="H24">
        <v>200</v>
      </c>
      <c r="I24">
        <v>400</v>
      </c>
    </row>
    <row r="25" spans="1:9" x14ac:dyDescent="0.35">
      <c r="A25" s="3" t="s">
        <v>40</v>
      </c>
      <c r="B25" s="3">
        <v>3</v>
      </c>
      <c r="C25" s="3">
        <v>8</v>
      </c>
      <c r="D25" s="3"/>
      <c r="E25" s="3">
        <v>13</v>
      </c>
      <c r="G25">
        <v>140</v>
      </c>
      <c r="H25">
        <v>280</v>
      </c>
      <c r="I25">
        <v>560</v>
      </c>
    </row>
    <row r="26" spans="1:9" x14ac:dyDescent="0.35">
      <c r="A26" s="3" t="s">
        <v>41</v>
      </c>
      <c r="B26" s="3">
        <v>1</v>
      </c>
      <c r="C26" s="3">
        <v>9</v>
      </c>
      <c r="D26" s="3"/>
      <c r="E26" s="3">
        <v>8</v>
      </c>
      <c r="G26">
        <v>100</v>
      </c>
      <c r="H26">
        <v>200</v>
      </c>
      <c r="I26">
        <v>400</v>
      </c>
    </row>
    <row r="27" spans="1:9" x14ac:dyDescent="0.35">
      <c r="A27" s="3" t="s">
        <v>76</v>
      </c>
      <c r="B27" s="3">
        <v>4</v>
      </c>
      <c r="C27" s="3">
        <v>11</v>
      </c>
      <c r="D27" s="3"/>
      <c r="E27" s="3">
        <v>3</v>
      </c>
      <c r="G27">
        <v>160</v>
      </c>
      <c r="H27">
        <v>320</v>
      </c>
      <c r="I27">
        <v>640</v>
      </c>
    </row>
    <row r="28" spans="1:9" x14ac:dyDescent="0.35">
      <c r="A28" s="3" t="s">
        <v>42</v>
      </c>
      <c r="B28" s="3">
        <v>3</v>
      </c>
      <c r="C28" s="3">
        <v>5</v>
      </c>
      <c r="D28" s="3"/>
      <c r="E28" s="3">
        <v>10</v>
      </c>
      <c r="G28">
        <v>140</v>
      </c>
      <c r="H28">
        <v>280</v>
      </c>
      <c r="I28">
        <v>560</v>
      </c>
    </row>
    <row r="29" spans="1:9" x14ac:dyDescent="0.35">
      <c r="A29" s="3" t="s">
        <v>43</v>
      </c>
      <c r="B29" s="3">
        <v>3</v>
      </c>
      <c r="C29" s="3">
        <v>9</v>
      </c>
      <c r="D29" s="3"/>
      <c r="E29" s="3">
        <v>10</v>
      </c>
      <c r="G29">
        <v>140</v>
      </c>
      <c r="H29">
        <v>280</v>
      </c>
      <c r="I29">
        <v>560</v>
      </c>
    </row>
    <row r="30" spans="1:9" x14ac:dyDescent="0.35">
      <c r="A30" s="3" t="s">
        <v>72</v>
      </c>
      <c r="B30" s="3">
        <v>3</v>
      </c>
      <c r="C30" s="3">
        <v>4</v>
      </c>
      <c r="D30" s="3"/>
      <c r="E30" s="3">
        <v>3</v>
      </c>
      <c r="G30">
        <v>140</v>
      </c>
      <c r="H30">
        <v>280</v>
      </c>
      <c r="I30">
        <v>560</v>
      </c>
    </row>
    <row r="31" spans="1:9" x14ac:dyDescent="0.35">
      <c r="A31" s="3" t="s">
        <v>44</v>
      </c>
      <c r="B31" s="3">
        <v>2</v>
      </c>
      <c r="C31" s="3">
        <v>7</v>
      </c>
      <c r="D31" s="3"/>
      <c r="E31" s="3">
        <v>8</v>
      </c>
      <c r="G31">
        <v>120</v>
      </c>
      <c r="H31">
        <v>240</v>
      </c>
      <c r="I31">
        <v>480</v>
      </c>
    </row>
    <row r="32" spans="1:9" x14ac:dyDescent="0.35">
      <c r="A32" s="3" t="s">
        <v>22</v>
      </c>
      <c r="B32" s="3">
        <v>3</v>
      </c>
      <c r="C32" s="3">
        <v>2</v>
      </c>
      <c r="D32" s="3"/>
      <c r="E32" s="3">
        <v>13</v>
      </c>
      <c r="G32">
        <v>140</v>
      </c>
      <c r="H32">
        <v>280</v>
      </c>
      <c r="I32">
        <v>560</v>
      </c>
    </row>
    <row r="33" spans="1:9" x14ac:dyDescent="0.35">
      <c r="A33" s="3" t="s">
        <v>45</v>
      </c>
      <c r="B33" s="3">
        <v>3</v>
      </c>
      <c r="C33" s="3">
        <v>10</v>
      </c>
      <c r="D33" s="3"/>
      <c r="E33" s="3">
        <v>1</v>
      </c>
      <c r="G33">
        <v>140</v>
      </c>
      <c r="H33">
        <v>280</v>
      </c>
      <c r="I33">
        <v>560</v>
      </c>
    </row>
    <row r="34" spans="1:9" x14ac:dyDescent="0.35">
      <c r="A34" s="3" t="s">
        <v>46</v>
      </c>
      <c r="B34" s="3">
        <v>3</v>
      </c>
      <c r="C34" s="3">
        <v>1</v>
      </c>
      <c r="D34" s="3"/>
      <c r="E34" s="3">
        <v>2</v>
      </c>
      <c r="G34">
        <v>140</v>
      </c>
      <c r="H34">
        <v>280</v>
      </c>
      <c r="I34">
        <v>560</v>
      </c>
    </row>
    <row r="35" spans="1:9" x14ac:dyDescent="0.35">
      <c r="A35" s="3" t="s">
        <v>69</v>
      </c>
      <c r="B35" s="3">
        <v>1</v>
      </c>
      <c r="C35" s="3">
        <v>11</v>
      </c>
      <c r="D35" s="3"/>
      <c r="E35" s="3">
        <v>13</v>
      </c>
      <c r="G35">
        <v>100</v>
      </c>
      <c r="H35">
        <v>200</v>
      </c>
      <c r="I35">
        <v>400</v>
      </c>
    </row>
    <row r="36" spans="1:9" x14ac:dyDescent="0.35">
      <c r="A36" s="3" t="s">
        <v>47</v>
      </c>
      <c r="B36" s="3">
        <v>1</v>
      </c>
      <c r="C36" s="3">
        <v>5</v>
      </c>
      <c r="D36" s="3"/>
      <c r="E36" s="3">
        <v>8</v>
      </c>
      <c r="G36">
        <v>100</v>
      </c>
      <c r="H36">
        <v>200</v>
      </c>
      <c r="I36">
        <v>400</v>
      </c>
    </row>
    <row r="37" spans="1:9" x14ac:dyDescent="0.35">
      <c r="A37" s="3" t="s">
        <v>67</v>
      </c>
      <c r="B37" s="3">
        <v>2</v>
      </c>
      <c r="C37" s="3">
        <v>11</v>
      </c>
      <c r="D37" s="3"/>
      <c r="E37" s="3">
        <v>1</v>
      </c>
      <c r="G37">
        <v>120</v>
      </c>
      <c r="H37">
        <v>240</v>
      </c>
      <c r="I37">
        <v>480</v>
      </c>
    </row>
    <row r="38" spans="1:9" x14ac:dyDescent="0.35">
      <c r="A38" s="3" t="s">
        <v>71</v>
      </c>
      <c r="B38" s="3">
        <v>3</v>
      </c>
      <c r="C38" s="3">
        <v>11</v>
      </c>
      <c r="D38" s="3"/>
      <c r="E38" s="3">
        <v>12</v>
      </c>
      <c r="G38">
        <v>140</v>
      </c>
      <c r="H38">
        <v>280</v>
      </c>
      <c r="I38">
        <v>560</v>
      </c>
    </row>
    <row r="39" spans="1:9" x14ac:dyDescent="0.35">
      <c r="A39" s="3" t="s">
        <v>48</v>
      </c>
      <c r="B39" s="3">
        <v>4</v>
      </c>
      <c r="C39" s="3">
        <v>7</v>
      </c>
      <c r="D39" s="3">
        <v>9</v>
      </c>
      <c r="E39" s="3">
        <v>5</v>
      </c>
      <c r="G39">
        <v>160</v>
      </c>
      <c r="H39">
        <v>320</v>
      </c>
      <c r="I39">
        <v>640</v>
      </c>
    </row>
    <row r="40" spans="1:9" x14ac:dyDescent="0.35">
      <c r="A40" s="3" t="s">
        <v>49</v>
      </c>
      <c r="B40" s="3">
        <v>3</v>
      </c>
      <c r="C40" s="3">
        <v>2</v>
      </c>
      <c r="D40" s="3"/>
      <c r="E40" s="3">
        <v>9</v>
      </c>
      <c r="G40">
        <v>140</v>
      </c>
      <c r="H40">
        <v>280</v>
      </c>
      <c r="I40">
        <v>560</v>
      </c>
    </row>
    <row r="41" spans="1:9" x14ac:dyDescent="0.35">
      <c r="A41" s="3" t="s">
        <v>20</v>
      </c>
      <c r="B41" s="3">
        <v>2</v>
      </c>
      <c r="C41" s="3">
        <v>8</v>
      </c>
      <c r="D41" s="3"/>
      <c r="E41" s="3">
        <v>2</v>
      </c>
      <c r="F41">
        <v>5</v>
      </c>
      <c r="G41">
        <v>120</v>
      </c>
      <c r="H41">
        <v>240</v>
      </c>
      <c r="I41">
        <v>480</v>
      </c>
    </row>
    <row r="42" spans="1:9" x14ac:dyDescent="0.35">
      <c r="A42" s="3" t="s">
        <v>66</v>
      </c>
      <c r="B42" s="3">
        <v>1</v>
      </c>
      <c r="C42" s="3">
        <v>11</v>
      </c>
      <c r="D42" s="3"/>
      <c r="E42" s="3">
        <v>3</v>
      </c>
      <c r="G42">
        <v>100</v>
      </c>
      <c r="H42">
        <v>200</v>
      </c>
      <c r="I42">
        <v>400</v>
      </c>
    </row>
    <row r="43" spans="1:9" x14ac:dyDescent="0.35">
      <c r="A43" s="3" t="s">
        <v>50</v>
      </c>
      <c r="B43" s="3">
        <v>2</v>
      </c>
      <c r="C43" s="3">
        <v>3</v>
      </c>
      <c r="D43" s="3"/>
      <c r="E43" s="3">
        <v>2</v>
      </c>
      <c r="G43">
        <v>120</v>
      </c>
      <c r="H43">
        <v>240</v>
      </c>
      <c r="I43">
        <v>480</v>
      </c>
    </row>
    <row r="44" spans="1:9" x14ac:dyDescent="0.35">
      <c r="A44" s="3" t="s">
        <v>51</v>
      </c>
      <c r="B44" s="3">
        <v>2</v>
      </c>
      <c r="C44" s="3">
        <v>2</v>
      </c>
      <c r="D44" s="3"/>
      <c r="E44" s="3">
        <v>12</v>
      </c>
      <c r="G44">
        <v>120</v>
      </c>
      <c r="H44">
        <v>240</v>
      </c>
      <c r="I44">
        <v>480</v>
      </c>
    </row>
    <row r="45" spans="1:9" x14ac:dyDescent="0.35">
      <c r="A45" s="3" t="s">
        <v>52</v>
      </c>
      <c r="B45" s="3">
        <v>2</v>
      </c>
      <c r="C45" s="3">
        <v>9</v>
      </c>
      <c r="D45" s="3"/>
      <c r="E45" s="3">
        <v>7</v>
      </c>
      <c r="G45">
        <v>120</v>
      </c>
      <c r="H45">
        <v>240</v>
      </c>
      <c r="I45">
        <v>480</v>
      </c>
    </row>
    <row r="46" spans="1:9" x14ac:dyDescent="0.35">
      <c r="A46" s="3" t="s">
        <v>53</v>
      </c>
      <c r="B46" s="3">
        <v>6</v>
      </c>
      <c r="C46" s="3">
        <v>5</v>
      </c>
      <c r="D46" s="3"/>
      <c r="E46" s="3">
        <v>6</v>
      </c>
      <c r="F46">
        <v>7</v>
      </c>
      <c r="G46">
        <v>200</v>
      </c>
      <c r="H46">
        <v>400</v>
      </c>
      <c r="I46">
        <v>800</v>
      </c>
    </row>
    <row r="47" spans="1:9" x14ac:dyDescent="0.35">
      <c r="A47" s="3" t="s">
        <v>54</v>
      </c>
      <c r="B47" s="3">
        <v>2</v>
      </c>
      <c r="C47" s="3">
        <v>4</v>
      </c>
      <c r="D47" s="3"/>
      <c r="E47" s="3">
        <v>8</v>
      </c>
      <c r="G47">
        <v>120</v>
      </c>
      <c r="H47">
        <v>240</v>
      </c>
      <c r="I47">
        <v>480</v>
      </c>
    </row>
    <row r="48" spans="1:9" x14ac:dyDescent="0.35">
      <c r="A48" s="3" t="s">
        <v>70</v>
      </c>
      <c r="B48" s="3">
        <v>2</v>
      </c>
      <c r="C48" s="3">
        <v>5</v>
      </c>
      <c r="D48" s="3"/>
      <c r="E48" s="3">
        <v>3</v>
      </c>
      <c r="G48">
        <v>120</v>
      </c>
      <c r="H48">
        <v>240</v>
      </c>
      <c r="I48">
        <v>480</v>
      </c>
    </row>
    <row r="49" spans="1:9" x14ac:dyDescent="0.35">
      <c r="A49" s="3" t="s">
        <v>55</v>
      </c>
      <c r="B49" s="3">
        <v>1</v>
      </c>
      <c r="C49" s="3">
        <v>3</v>
      </c>
      <c r="D49" s="3"/>
      <c r="E49" s="3">
        <v>13</v>
      </c>
      <c r="G49">
        <v>100</v>
      </c>
      <c r="H49">
        <v>200</v>
      </c>
      <c r="I49">
        <v>400</v>
      </c>
    </row>
    <row r="50" spans="1:9" x14ac:dyDescent="0.35">
      <c r="A50" s="3" t="s">
        <v>56</v>
      </c>
      <c r="B50" s="3">
        <v>2</v>
      </c>
      <c r="C50" s="3">
        <v>9</v>
      </c>
      <c r="D50" s="3"/>
      <c r="E50" s="3">
        <v>11</v>
      </c>
      <c r="G50">
        <v>120</v>
      </c>
      <c r="H50">
        <v>240</v>
      </c>
      <c r="I50">
        <v>480</v>
      </c>
    </row>
    <row r="51" spans="1:9" x14ac:dyDescent="0.35">
      <c r="A51" s="3" t="s">
        <v>57</v>
      </c>
      <c r="B51" s="3">
        <v>1</v>
      </c>
      <c r="C51" s="3">
        <v>4</v>
      </c>
      <c r="D51" s="3"/>
      <c r="E51" s="3">
        <v>11</v>
      </c>
      <c r="G51">
        <v>100</v>
      </c>
      <c r="H51">
        <v>200</v>
      </c>
      <c r="I51">
        <v>400</v>
      </c>
    </row>
    <row r="52" spans="1:9" x14ac:dyDescent="0.35">
      <c r="A52" s="3" t="s">
        <v>58</v>
      </c>
      <c r="B52" s="3">
        <v>4</v>
      </c>
      <c r="C52" s="3">
        <v>9</v>
      </c>
      <c r="D52" s="3"/>
      <c r="E52" s="3">
        <v>14</v>
      </c>
      <c r="G52">
        <v>160</v>
      </c>
      <c r="H52">
        <v>320</v>
      </c>
      <c r="I52">
        <v>640</v>
      </c>
    </row>
    <row r="53" spans="1:9" x14ac:dyDescent="0.35">
      <c r="A53" s="3" t="s">
        <v>59</v>
      </c>
      <c r="B53" s="3">
        <v>5</v>
      </c>
      <c r="C53" s="3">
        <v>4</v>
      </c>
      <c r="D53" s="3"/>
      <c r="E53" s="3">
        <v>1</v>
      </c>
      <c r="F53">
        <v>13</v>
      </c>
      <c r="G53">
        <v>180</v>
      </c>
      <c r="H53">
        <v>360</v>
      </c>
      <c r="I53">
        <v>720</v>
      </c>
    </row>
    <row r="54" spans="1:9" x14ac:dyDescent="0.35">
      <c r="A54" s="3" t="s">
        <v>60</v>
      </c>
      <c r="B54" s="3">
        <v>1</v>
      </c>
      <c r="C54" s="3">
        <v>8</v>
      </c>
      <c r="D54" s="3"/>
      <c r="E54" s="3">
        <v>12</v>
      </c>
      <c r="G54">
        <v>100</v>
      </c>
      <c r="H54">
        <v>200</v>
      </c>
      <c r="I54">
        <v>400</v>
      </c>
    </row>
    <row r="55" spans="1:9" x14ac:dyDescent="0.35">
      <c r="A55" s="3" t="s">
        <v>61</v>
      </c>
      <c r="B55" s="3">
        <v>5</v>
      </c>
      <c r="C55" s="3">
        <v>10</v>
      </c>
      <c r="D55" s="3"/>
      <c r="E55" s="3">
        <v>2</v>
      </c>
      <c r="G55">
        <v>180</v>
      </c>
      <c r="H55">
        <v>360</v>
      </c>
      <c r="I55">
        <v>720</v>
      </c>
    </row>
    <row r="56" spans="1:9" x14ac:dyDescent="0.35">
      <c r="A56" s="3" t="s">
        <v>62</v>
      </c>
      <c r="B56" s="3">
        <v>3</v>
      </c>
      <c r="C56" s="3">
        <v>8</v>
      </c>
      <c r="D56" s="3"/>
      <c r="E56" s="3">
        <v>9</v>
      </c>
      <c r="G56">
        <v>140</v>
      </c>
      <c r="H56">
        <v>280</v>
      </c>
      <c r="I56">
        <v>560</v>
      </c>
    </row>
    <row r="57" spans="1:9" x14ac:dyDescent="0.35">
      <c r="A57" s="3" t="s">
        <v>63</v>
      </c>
      <c r="B57" s="3">
        <v>1</v>
      </c>
      <c r="C57" s="3">
        <v>5</v>
      </c>
      <c r="D57" s="3"/>
      <c r="E57" s="3">
        <v>14</v>
      </c>
      <c r="G57">
        <v>100</v>
      </c>
      <c r="H57">
        <v>200</v>
      </c>
      <c r="I57">
        <v>400</v>
      </c>
    </row>
    <row r="58" spans="1:9" x14ac:dyDescent="0.35">
      <c r="A58" t="s">
        <v>64</v>
      </c>
      <c r="B58">
        <v>3</v>
      </c>
      <c r="C58">
        <v>3</v>
      </c>
      <c r="E58">
        <v>14</v>
      </c>
      <c r="G58">
        <v>140</v>
      </c>
      <c r="H58">
        <v>280</v>
      </c>
      <c r="I58">
        <v>560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E1529-96E8-4350-A2EC-F1BA6F7E437A}">
  <sheetPr codeName="Sheet5"/>
  <dimension ref="A1:F58"/>
  <sheetViews>
    <sheetView workbookViewId="0">
      <selection activeCell="A39" sqref="A39"/>
    </sheetView>
  </sheetViews>
  <sheetFormatPr defaultRowHeight="14.5" x14ac:dyDescent="0.35"/>
  <cols>
    <col min="1" max="1" width="11.90625" style="3" bestFit="1" customWidth="1"/>
    <col min="2" max="2" width="3" bestFit="1" customWidth="1"/>
    <col min="3" max="3" width="4.6328125" bestFit="1" customWidth="1"/>
    <col min="4" max="6" width="11.453125" bestFit="1" customWidth="1"/>
  </cols>
  <sheetData>
    <row r="1" spans="1:6" x14ac:dyDescent="0.35">
      <c r="B1" t="s">
        <v>78</v>
      </c>
      <c r="C1" t="s">
        <v>79</v>
      </c>
      <c r="D1" t="s">
        <v>273</v>
      </c>
      <c r="E1" t="s">
        <v>274</v>
      </c>
      <c r="F1" t="s">
        <v>275</v>
      </c>
    </row>
    <row r="2" spans="1:6" x14ac:dyDescent="0.35">
      <c r="A2" s="3" t="s">
        <v>23</v>
      </c>
      <c r="B2">
        <v>1</v>
      </c>
      <c r="C2">
        <v>1</v>
      </c>
      <c r="D2">
        <v>100</v>
      </c>
      <c r="E2">
        <v>200</v>
      </c>
      <c r="F2">
        <v>400</v>
      </c>
    </row>
    <row r="3" spans="1:6" x14ac:dyDescent="0.35">
      <c r="A3" s="3" t="s">
        <v>75</v>
      </c>
      <c r="B3">
        <v>2</v>
      </c>
      <c r="C3">
        <v>5</v>
      </c>
      <c r="D3">
        <v>180</v>
      </c>
      <c r="E3">
        <v>360</v>
      </c>
      <c r="F3">
        <v>720</v>
      </c>
    </row>
    <row r="4" spans="1:6" x14ac:dyDescent="0.35">
      <c r="A4" s="3" t="s">
        <v>24</v>
      </c>
      <c r="B4">
        <v>3</v>
      </c>
      <c r="C4">
        <v>4</v>
      </c>
      <c r="D4">
        <v>160</v>
      </c>
      <c r="E4">
        <v>320</v>
      </c>
      <c r="F4">
        <v>640</v>
      </c>
    </row>
    <row r="5" spans="1:6" x14ac:dyDescent="0.35">
      <c r="A5" s="3" t="s">
        <v>25</v>
      </c>
      <c r="B5">
        <v>4</v>
      </c>
      <c r="C5">
        <v>3</v>
      </c>
      <c r="D5">
        <v>140</v>
      </c>
      <c r="E5">
        <v>280</v>
      </c>
      <c r="F5">
        <v>560</v>
      </c>
    </row>
    <row r="6" spans="1:6" x14ac:dyDescent="0.35">
      <c r="A6" s="3" t="s">
        <v>26</v>
      </c>
      <c r="B6">
        <v>5</v>
      </c>
      <c r="C6">
        <v>2</v>
      </c>
      <c r="D6">
        <v>120</v>
      </c>
      <c r="E6">
        <v>240</v>
      </c>
      <c r="F6">
        <v>480</v>
      </c>
    </row>
    <row r="7" spans="1:6" x14ac:dyDescent="0.35">
      <c r="A7" s="3" t="s">
        <v>27</v>
      </c>
      <c r="B7">
        <v>6</v>
      </c>
      <c r="C7">
        <v>4</v>
      </c>
      <c r="D7">
        <v>160</v>
      </c>
      <c r="E7">
        <v>320</v>
      </c>
      <c r="F7">
        <v>640</v>
      </c>
    </row>
    <row r="8" spans="1:6" x14ac:dyDescent="0.35">
      <c r="A8" s="3" t="s">
        <v>28</v>
      </c>
      <c r="B8">
        <v>7</v>
      </c>
      <c r="C8">
        <v>4</v>
      </c>
      <c r="D8">
        <v>160</v>
      </c>
      <c r="E8">
        <v>320</v>
      </c>
      <c r="F8">
        <v>640</v>
      </c>
    </row>
    <row r="9" spans="1:6" x14ac:dyDescent="0.35">
      <c r="A9" s="3" t="s">
        <v>68</v>
      </c>
      <c r="B9">
        <v>8</v>
      </c>
      <c r="C9">
        <v>4</v>
      </c>
      <c r="D9">
        <v>160</v>
      </c>
      <c r="E9">
        <v>320</v>
      </c>
      <c r="F9">
        <v>640</v>
      </c>
    </row>
    <row r="10" spans="1:6" x14ac:dyDescent="0.35">
      <c r="A10" s="3" t="s">
        <v>74</v>
      </c>
      <c r="B10">
        <v>9</v>
      </c>
      <c r="C10">
        <v>4</v>
      </c>
      <c r="D10">
        <v>160</v>
      </c>
      <c r="E10">
        <v>320</v>
      </c>
      <c r="F10">
        <v>640</v>
      </c>
    </row>
    <row r="11" spans="1:6" x14ac:dyDescent="0.35">
      <c r="A11" s="3" t="s">
        <v>29</v>
      </c>
      <c r="B11">
        <v>10</v>
      </c>
      <c r="C11">
        <v>5</v>
      </c>
      <c r="D11">
        <v>180</v>
      </c>
      <c r="E11">
        <v>360</v>
      </c>
      <c r="F11">
        <v>720</v>
      </c>
    </row>
    <row r="12" spans="1:6" x14ac:dyDescent="0.35">
      <c r="A12" s="3" t="s">
        <v>30</v>
      </c>
      <c r="B12">
        <v>11</v>
      </c>
      <c r="C12">
        <v>1</v>
      </c>
      <c r="D12">
        <v>100</v>
      </c>
      <c r="E12">
        <v>200</v>
      </c>
      <c r="F12">
        <v>400</v>
      </c>
    </row>
    <row r="13" spans="1:6" x14ac:dyDescent="0.35">
      <c r="A13" s="3" t="s">
        <v>73</v>
      </c>
      <c r="B13">
        <v>12</v>
      </c>
      <c r="C13">
        <v>5</v>
      </c>
      <c r="D13">
        <v>180</v>
      </c>
      <c r="E13">
        <v>360</v>
      </c>
      <c r="F13">
        <v>720</v>
      </c>
    </row>
    <row r="14" spans="1:6" x14ac:dyDescent="0.35">
      <c r="A14" s="3" t="s">
        <v>31</v>
      </c>
      <c r="B14">
        <v>13</v>
      </c>
      <c r="C14">
        <v>2</v>
      </c>
      <c r="D14">
        <v>120</v>
      </c>
      <c r="E14">
        <v>240</v>
      </c>
      <c r="F14">
        <v>480</v>
      </c>
    </row>
    <row r="15" spans="1:6" x14ac:dyDescent="0.35">
      <c r="A15" s="3" t="s">
        <v>32</v>
      </c>
      <c r="B15">
        <v>14</v>
      </c>
      <c r="C15">
        <v>5</v>
      </c>
      <c r="D15">
        <v>180</v>
      </c>
      <c r="E15">
        <v>360</v>
      </c>
      <c r="F15">
        <v>720</v>
      </c>
    </row>
    <row r="16" spans="1:6" x14ac:dyDescent="0.35">
      <c r="A16" s="3" t="s">
        <v>77</v>
      </c>
      <c r="B16">
        <v>15</v>
      </c>
      <c r="C16">
        <v>2</v>
      </c>
      <c r="D16">
        <v>120</v>
      </c>
      <c r="E16">
        <v>240</v>
      </c>
      <c r="F16">
        <v>480</v>
      </c>
    </row>
    <row r="17" spans="1:6" x14ac:dyDescent="0.35">
      <c r="A17" s="3" t="s">
        <v>33</v>
      </c>
      <c r="B17">
        <v>16</v>
      </c>
      <c r="C17">
        <v>4</v>
      </c>
      <c r="D17">
        <v>160</v>
      </c>
      <c r="E17">
        <v>320</v>
      </c>
      <c r="F17">
        <v>640</v>
      </c>
    </row>
    <row r="18" spans="1:6" x14ac:dyDescent="0.35">
      <c r="A18" s="3" t="s">
        <v>34</v>
      </c>
      <c r="B18">
        <v>17</v>
      </c>
      <c r="C18">
        <v>4</v>
      </c>
      <c r="D18">
        <v>160</v>
      </c>
      <c r="E18">
        <v>320</v>
      </c>
      <c r="F18">
        <v>640</v>
      </c>
    </row>
    <row r="19" spans="1:6" x14ac:dyDescent="0.35">
      <c r="A19" s="3" t="s">
        <v>35</v>
      </c>
      <c r="B19">
        <v>18</v>
      </c>
      <c r="C19">
        <v>1</v>
      </c>
      <c r="D19">
        <v>100</v>
      </c>
      <c r="E19">
        <v>200</v>
      </c>
      <c r="F19">
        <v>400</v>
      </c>
    </row>
    <row r="20" spans="1:6" x14ac:dyDescent="0.35">
      <c r="A20" s="3" t="s">
        <v>21</v>
      </c>
      <c r="B20">
        <v>19</v>
      </c>
      <c r="C20">
        <v>4</v>
      </c>
      <c r="D20">
        <v>160</v>
      </c>
      <c r="E20">
        <v>320</v>
      </c>
      <c r="F20">
        <v>640</v>
      </c>
    </row>
    <row r="21" spans="1:6" x14ac:dyDescent="0.35">
      <c r="A21" s="3" t="s">
        <v>36</v>
      </c>
      <c r="B21">
        <v>20</v>
      </c>
      <c r="C21">
        <v>5</v>
      </c>
      <c r="D21">
        <v>180</v>
      </c>
      <c r="E21">
        <v>360</v>
      </c>
      <c r="F21">
        <v>720</v>
      </c>
    </row>
    <row r="22" spans="1:6" x14ac:dyDescent="0.35">
      <c r="A22" s="3" t="s">
        <v>37</v>
      </c>
      <c r="B22">
        <v>21</v>
      </c>
      <c r="C22">
        <v>2</v>
      </c>
      <c r="D22">
        <v>120</v>
      </c>
      <c r="E22">
        <v>240</v>
      </c>
      <c r="F22">
        <v>480</v>
      </c>
    </row>
    <row r="23" spans="1:6" x14ac:dyDescent="0.35">
      <c r="A23" s="3" t="s">
        <v>38</v>
      </c>
      <c r="B23">
        <v>22</v>
      </c>
      <c r="C23">
        <v>1</v>
      </c>
      <c r="D23">
        <v>100</v>
      </c>
      <c r="E23">
        <v>200</v>
      </c>
      <c r="F23">
        <v>400</v>
      </c>
    </row>
    <row r="24" spans="1:6" x14ac:dyDescent="0.35">
      <c r="A24" s="3" t="s">
        <v>39</v>
      </c>
      <c r="B24">
        <v>23</v>
      </c>
      <c r="C24">
        <v>1</v>
      </c>
      <c r="D24">
        <v>100</v>
      </c>
      <c r="E24">
        <v>200</v>
      </c>
      <c r="F24">
        <v>400</v>
      </c>
    </row>
    <row r="25" spans="1:6" x14ac:dyDescent="0.35">
      <c r="A25" s="3" t="s">
        <v>40</v>
      </c>
      <c r="B25">
        <v>24</v>
      </c>
      <c r="C25">
        <v>3</v>
      </c>
      <c r="D25">
        <v>140</v>
      </c>
      <c r="E25">
        <v>280</v>
      </c>
      <c r="F25">
        <v>560</v>
      </c>
    </row>
    <row r="26" spans="1:6" x14ac:dyDescent="0.35">
      <c r="A26" s="3" t="s">
        <v>41</v>
      </c>
      <c r="B26">
        <v>25</v>
      </c>
      <c r="C26">
        <v>1</v>
      </c>
      <c r="D26">
        <v>100</v>
      </c>
      <c r="E26">
        <v>200</v>
      </c>
      <c r="F26">
        <v>400</v>
      </c>
    </row>
    <row r="27" spans="1:6" x14ac:dyDescent="0.35">
      <c r="A27" s="3" t="s">
        <v>76</v>
      </c>
      <c r="B27">
        <v>26</v>
      </c>
      <c r="C27">
        <v>4</v>
      </c>
      <c r="D27">
        <v>160</v>
      </c>
      <c r="E27">
        <v>320</v>
      </c>
      <c r="F27">
        <v>640</v>
      </c>
    </row>
    <row r="28" spans="1:6" x14ac:dyDescent="0.35">
      <c r="A28" s="3" t="s">
        <v>42</v>
      </c>
      <c r="B28">
        <v>27</v>
      </c>
      <c r="C28">
        <v>3</v>
      </c>
      <c r="D28">
        <v>140</v>
      </c>
      <c r="E28">
        <v>280</v>
      </c>
      <c r="F28">
        <v>560</v>
      </c>
    </row>
    <row r="29" spans="1:6" x14ac:dyDescent="0.35">
      <c r="A29" s="3" t="s">
        <v>43</v>
      </c>
      <c r="B29">
        <v>28</v>
      </c>
      <c r="C29">
        <v>3</v>
      </c>
      <c r="D29">
        <v>140</v>
      </c>
      <c r="E29">
        <v>280</v>
      </c>
      <c r="F29">
        <v>560</v>
      </c>
    </row>
    <row r="30" spans="1:6" x14ac:dyDescent="0.35">
      <c r="A30" s="3" t="s">
        <v>72</v>
      </c>
      <c r="B30">
        <v>29</v>
      </c>
      <c r="C30">
        <v>3</v>
      </c>
      <c r="D30">
        <v>140</v>
      </c>
      <c r="E30">
        <v>280</v>
      </c>
      <c r="F30">
        <v>560</v>
      </c>
    </row>
    <row r="31" spans="1:6" x14ac:dyDescent="0.35">
      <c r="A31" s="3" t="s">
        <v>44</v>
      </c>
      <c r="B31">
        <v>30</v>
      </c>
      <c r="C31">
        <v>2</v>
      </c>
      <c r="D31">
        <v>120</v>
      </c>
      <c r="E31">
        <v>240</v>
      </c>
      <c r="F31">
        <v>480</v>
      </c>
    </row>
    <row r="32" spans="1:6" x14ac:dyDescent="0.35">
      <c r="A32" s="3" t="s">
        <v>22</v>
      </c>
      <c r="B32">
        <v>31</v>
      </c>
      <c r="C32">
        <v>3</v>
      </c>
      <c r="D32">
        <v>140</v>
      </c>
      <c r="E32">
        <v>280</v>
      </c>
      <c r="F32">
        <v>560</v>
      </c>
    </row>
    <row r="33" spans="1:6" x14ac:dyDescent="0.35">
      <c r="A33" s="3" t="s">
        <v>45</v>
      </c>
      <c r="B33">
        <v>32</v>
      </c>
      <c r="C33">
        <v>3</v>
      </c>
      <c r="D33">
        <v>140</v>
      </c>
      <c r="E33">
        <v>280</v>
      </c>
      <c r="F33">
        <v>560</v>
      </c>
    </row>
    <row r="34" spans="1:6" x14ac:dyDescent="0.35">
      <c r="A34" s="3" t="s">
        <v>46</v>
      </c>
      <c r="B34">
        <v>33</v>
      </c>
      <c r="C34">
        <v>3</v>
      </c>
      <c r="D34">
        <v>140</v>
      </c>
      <c r="E34">
        <v>280</v>
      </c>
      <c r="F34">
        <v>560</v>
      </c>
    </row>
    <row r="35" spans="1:6" x14ac:dyDescent="0.35">
      <c r="A35" s="3" t="s">
        <v>69</v>
      </c>
      <c r="B35">
        <v>34</v>
      </c>
      <c r="C35">
        <v>1</v>
      </c>
      <c r="D35">
        <v>100</v>
      </c>
      <c r="E35">
        <v>200</v>
      </c>
      <c r="F35">
        <v>400</v>
      </c>
    </row>
    <row r="36" spans="1:6" x14ac:dyDescent="0.35">
      <c r="A36" s="3" t="s">
        <v>47</v>
      </c>
      <c r="B36">
        <v>35</v>
      </c>
      <c r="C36">
        <v>1</v>
      </c>
      <c r="D36">
        <v>100</v>
      </c>
      <c r="E36">
        <v>200</v>
      </c>
      <c r="F36">
        <v>400</v>
      </c>
    </row>
    <row r="37" spans="1:6" x14ac:dyDescent="0.35">
      <c r="A37" s="3" t="s">
        <v>67</v>
      </c>
      <c r="B37">
        <v>36</v>
      </c>
      <c r="C37">
        <v>2</v>
      </c>
      <c r="D37">
        <v>120</v>
      </c>
      <c r="E37">
        <v>240</v>
      </c>
      <c r="F37">
        <v>480</v>
      </c>
    </row>
    <row r="38" spans="1:6" x14ac:dyDescent="0.35">
      <c r="A38" s="3" t="s">
        <v>71</v>
      </c>
      <c r="B38">
        <v>37</v>
      </c>
      <c r="C38">
        <v>3</v>
      </c>
      <c r="D38">
        <v>140</v>
      </c>
      <c r="E38">
        <v>280</v>
      </c>
      <c r="F38">
        <v>560</v>
      </c>
    </row>
    <row r="39" spans="1:6" x14ac:dyDescent="0.35">
      <c r="A39" s="3" t="s">
        <v>48</v>
      </c>
      <c r="B39">
        <v>38</v>
      </c>
      <c r="C39">
        <v>4</v>
      </c>
      <c r="D39">
        <v>160</v>
      </c>
      <c r="E39">
        <v>320</v>
      </c>
      <c r="F39">
        <v>640</v>
      </c>
    </row>
    <row r="40" spans="1:6" x14ac:dyDescent="0.35">
      <c r="A40" s="3" t="s">
        <v>49</v>
      </c>
      <c r="B40">
        <v>39</v>
      </c>
      <c r="C40">
        <v>3</v>
      </c>
      <c r="D40">
        <v>140</v>
      </c>
      <c r="E40">
        <v>280</v>
      </c>
      <c r="F40">
        <v>560</v>
      </c>
    </row>
    <row r="41" spans="1:6" x14ac:dyDescent="0.35">
      <c r="A41" s="3" t="s">
        <v>20</v>
      </c>
      <c r="B41">
        <v>40</v>
      </c>
      <c r="C41">
        <v>2</v>
      </c>
      <c r="D41">
        <v>120</v>
      </c>
      <c r="E41">
        <v>240</v>
      </c>
      <c r="F41">
        <v>480</v>
      </c>
    </row>
    <row r="42" spans="1:6" x14ac:dyDescent="0.35">
      <c r="A42" s="3" t="s">
        <v>66</v>
      </c>
      <c r="B42">
        <v>41</v>
      </c>
      <c r="C42">
        <v>1</v>
      </c>
      <c r="D42">
        <v>100</v>
      </c>
      <c r="E42">
        <v>200</v>
      </c>
      <c r="F42">
        <v>400</v>
      </c>
    </row>
    <row r="43" spans="1:6" x14ac:dyDescent="0.35">
      <c r="A43" s="3" t="s">
        <v>50</v>
      </c>
      <c r="B43">
        <v>42</v>
      </c>
      <c r="C43">
        <v>2</v>
      </c>
      <c r="D43">
        <v>120</v>
      </c>
      <c r="E43">
        <v>240</v>
      </c>
      <c r="F43">
        <v>480</v>
      </c>
    </row>
    <row r="44" spans="1:6" x14ac:dyDescent="0.35">
      <c r="A44" s="3" t="s">
        <v>51</v>
      </c>
      <c r="B44">
        <v>43</v>
      </c>
      <c r="C44">
        <v>2</v>
      </c>
      <c r="D44">
        <v>120</v>
      </c>
      <c r="E44">
        <v>240</v>
      </c>
      <c r="F44">
        <v>480</v>
      </c>
    </row>
    <row r="45" spans="1:6" x14ac:dyDescent="0.35">
      <c r="A45" s="3" t="s">
        <v>52</v>
      </c>
      <c r="B45">
        <v>44</v>
      </c>
      <c r="C45">
        <v>2</v>
      </c>
      <c r="D45">
        <v>120</v>
      </c>
      <c r="E45">
        <v>240</v>
      </c>
      <c r="F45">
        <v>480</v>
      </c>
    </row>
    <row r="46" spans="1:6" x14ac:dyDescent="0.35">
      <c r="A46" s="3" t="s">
        <v>53</v>
      </c>
      <c r="B46">
        <v>45</v>
      </c>
      <c r="C46">
        <v>6</v>
      </c>
      <c r="D46">
        <v>200</v>
      </c>
      <c r="E46">
        <v>400</v>
      </c>
      <c r="F46">
        <v>800</v>
      </c>
    </row>
    <row r="47" spans="1:6" x14ac:dyDescent="0.35">
      <c r="A47" s="3" t="s">
        <v>54</v>
      </c>
      <c r="B47">
        <v>46</v>
      </c>
      <c r="C47">
        <v>2</v>
      </c>
      <c r="D47">
        <v>120</v>
      </c>
      <c r="E47">
        <v>240</v>
      </c>
      <c r="F47">
        <v>480</v>
      </c>
    </row>
    <row r="48" spans="1:6" x14ac:dyDescent="0.35">
      <c r="A48" s="3" t="s">
        <v>70</v>
      </c>
      <c r="B48">
        <v>47</v>
      </c>
      <c r="C48">
        <v>2</v>
      </c>
      <c r="D48">
        <v>120</v>
      </c>
      <c r="E48">
        <v>240</v>
      </c>
      <c r="F48">
        <v>480</v>
      </c>
    </row>
    <row r="49" spans="1:6" x14ac:dyDescent="0.35">
      <c r="A49" s="3" t="s">
        <v>55</v>
      </c>
      <c r="B49">
        <v>48</v>
      </c>
      <c r="C49">
        <v>1</v>
      </c>
      <c r="D49">
        <v>100</v>
      </c>
      <c r="E49">
        <v>200</v>
      </c>
      <c r="F49">
        <v>400</v>
      </c>
    </row>
    <row r="50" spans="1:6" x14ac:dyDescent="0.35">
      <c r="A50" s="3" t="s">
        <v>56</v>
      </c>
      <c r="B50">
        <v>49</v>
      </c>
      <c r="C50">
        <v>2</v>
      </c>
      <c r="D50">
        <v>120</v>
      </c>
      <c r="E50">
        <v>240</v>
      </c>
      <c r="F50">
        <v>480</v>
      </c>
    </row>
    <row r="51" spans="1:6" x14ac:dyDescent="0.35">
      <c r="A51" s="3" t="s">
        <v>57</v>
      </c>
      <c r="B51">
        <v>50</v>
      </c>
      <c r="C51">
        <v>1</v>
      </c>
      <c r="D51">
        <v>100</v>
      </c>
      <c r="E51">
        <v>200</v>
      </c>
      <c r="F51">
        <v>400</v>
      </c>
    </row>
    <row r="52" spans="1:6" x14ac:dyDescent="0.35">
      <c r="A52" s="3" t="s">
        <v>58</v>
      </c>
      <c r="B52">
        <v>51</v>
      </c>
      <c r="C52">
        <v>4</v>
      </c>
      <c r="D52">
        <v>160</v>
      </c>
      <c r="E52">
        <v>320</v>
      </c>
      <c r="F52">
        <v>640</v>
      </c>
    </row>
    <row r="53" spans="1:6" x14ac:dyDescent="0.35">
      <c r="A53" s="3" t="s">
        <v>59</v>
      </c>
      <c r="B53">
        <v>52</v>
      </c>
      <c r="C53">
        <v>5</v>
      </c>
      <c r="D53">
        <v>180</v>
      </c>
      <c r="E53">
        <v>360</v>
      </c>
      <c r="F53">
        <v>720</v>
      </c>
    </row>
    <row r="54" spans="1:6" x14ac:dyDescent="0.35">
      <c r="A54" s="3" t="s">
        <v>60</v>
      </c>
      <c r="B54">
        <v>53</v>
      </c>
      <c r="C54">
        <v>1</v>
      </c>
      <c r="D54">
        <v>100</v>
      </c>
      <c r="E54">
        <v>200</v>
      </c>
      <c r="F54">
        <v>400</v>
      </c>
    </row>
    <row r="55" spans="1:6" x14ac:dyDescent="0.35">
      <c r="A55" s="3" t="s">
        <v>61</v>
      </c>
      <c r="B55">
        <v>54</v>
      </c>
      <c r="C55">
        <v>5</v>
      </c>
      <c r="D55">
        <v>180</v>
      </c>
      <c r="E55">
        <v>360</v>
      </c>
      <c r="F55">
        <v>720</v>
      </c>
    </row>
    <row r="56" spans="1:6" x14ac:dyDescent="0.35">
      <c r="A56" s="3" t="s">
        <v>62</v>
      </c>
      <c r="B56">
        <v>55</v>
      </c>
      <c r="C56">
        <v>3</v>
      </c>
      <c r="D56">
        <v>140</v>
      </c>
      <c r="E56">
        <v>280</v>
      </c>
      <c r="F56">
        <v>560</v>
      </c>
    </row>
    <row r="57" spans="1:6" x14ac:dyDescent="0.35">
      <c r="A57" s="3" t="s">
        <v>63</v>
      </c>
      <c r="B57">
        <v>56</v>
      </c>
      <c r="C57">
        <v>1</v>
      </c>
      <c r="D57">
        <v>100</v>
      </c>
      <c r="E57">
        <v>200</v>
      </c>
      <c r="F57">
        <v>400</v>
      </c>
    </row>
    <row r="58" spans="1:6" x14ac:dyDescent="0.35">
      <c r="A58" s="3" t="s">
        <v>64</v>
      </c>
      <c r="B58">
        <v>57</v>
      </c>
      <c r="C58">
        <v>3</v>
      </c>
      <c r="D58">
        <v>140</v>
      </c>
      <c r="E58">
        <v>280</v>
      </c>
      <c r="F58">
        <v>560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3D088-5E4B-4847-A790-AC30710497C0}">
  <sheetPr codeName="Sheet8"/>
  <dimension ref="A1:AK33"/>
  <sheetViews>
    <sheetView workbookViewId="0">
      <selection activeCell="A31" sqref="A31"/>
    </sheetView>
  </sheetViews>
  <sheetFormatPr defaultRowHeight="14.5" x14ac:dyDescent="0.35"/>
  <cols>
    <col min="1" max="1" width="11.453125" bestFit="1" customWidth="1"/>
    <col min="2" max="2" width="3.81640625" style="6" bestFit="1" customWidth="1"/>
    <col min="3" max="17" width="4" bestFit="1" customWidth="1"/>
  </cols>
  <sheetData>
    <row r="1" spans="1:17" s="5" customFormat="1" x14ac:dyDescent="0.35">
      <c r="A1" s="5" t="s">
        <v>100</v>
      </c>
      <c r="B1" s="7" t="s">
        <v>101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</row>
    <row r="2" spans="1:17" x14ac:dyDescent="0.35">
      <c r="A2" t="s">
        <v>165</v>
      </c>
      <c r="B2" s="6">
        <v>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  <c r="O2">
        <v>100</v>
      </c>
      <c r="P2">
        <v>100</v>
      </c>
      <c r="Q2">
        <v>100</v>
      </c>
    </row>
    <row r="3" spans="1:17" x14ac:dyDescent="0.35">
      <c r="A3" t="s">
        <v>102</v>
      </c>
      <c r="B3" s="6">
        <v>1</v>
      </c>
      <c r="C3" s="8">
        <v>100</v>
      </c>
      <c r="D3" s="8">
        <v>100</v>
      </c>
      <c r="E3" s="8">
        <v>157.5</v>
      </c>
      <c r="F3" s="8">
        <v>180</v>
      </c>
      <c r="G3" s="8">
        <v>232.5</v>
      </c>
      <c r="H3" s="8">
        <v>232.5</v>
      </c>
      <c r="I3" s="8">
        <v>232.5</v>
      </c>
      <c r="J3" s="8">
        <v>232.5</v>
      </c>
      <c r="K3" s="8">
        <v>232.5</v>
      </c>
      <c r="L3" s="8">
        <v>232.5</v>
      </c>
      <c r="M3" s="8">
        <v>232.5</v>
      </c>
      <c r="N3" s="8">
        <v>232.5</v>
      </c>
      <c r="O3" s="8">
        <v>232.5</v>
      </c>
      <c r="P3" s="8">
        <v>232.5</v>
      </c>
      <c r="Q3" s="8">
        <v>232.5</v>
      </c>
    </row>
    <row r="4" spans="1:17" x14ac:dyDescent="0.35">
      <c r="A4" t="s">
        <v>103</v>
      </c>
      <c r="B4" s="6">
        <v>2</v>
      </c>
      <c r="C4" s="8">
        <v>100</v>
      </c>
      <c r="D4" s="8">
        <v>120</v>
      </c>
      <c r="E4" s="8">
        <v>120</v>
      </c>
      <c r="F4" s="8">
        <v>166</v>
      </c>
      <c r="G4" s="8">
        <v>166</v>
      </c>
      <c r="H4" s="8">
        <v>205</v>
      </c>
      <c r="I4" s="8">
        <v>205</v>
      </c>
      <c r="J4" s="8">
        <v>260</v>
      </c>
      <c r="K4" s="8">
        <v>260</v>
      </c>
      <c r="L4" s="8">
        <v>260</v>
      </c>
      <c r="M4" s="8">
        <v>260</v>
      </c>
      <c r="N4" s="8">
        <v>260</v>
      </c>
      <c r="O4" s="8">
        <v>260</v>
      </c>
      <c r="P4" s="8">
        <v>260</v>
      </c>
      <c r="Q4" s="8">
        <v>260</v>
      </c>
    </row>
    <row r="5" spans="1:17" x14ac:dyDescent="0.35">
      <c r="A5" t="s">
        <v>104</v>
      </c>
      <c r="B5" s="6">
        <v>3</v>
      </c>
      <c r="C5" s="8">
        <v>100</v>
      </c>
      <c r="D5" s="8">
        <v>100</v>
      </c>
      <c r="E5" s="8">
        <v>153.5</v>
      </c>
      <c r="F5" s="8">
        <v>153.5</v>
      </c>
      <c r="G5" s="8">
        <v>192.5</v>
      </c>
      <c r="H5" s="8">
        <v>192.5</v>
      </c>
      <c r="I5" s="8">
        <v>192.5</v>
      </c>
      <c r="J5" s="8">
        <v>192.5</v>
      </c>
      <c r="K5" s="8">
        <v>192.5</v>
      </c>
      <c r="L5" s="8">
        <v>192.5</v>
      </c>
      <c r="M5" s="8">
        <v>192.5</v>
      </c>
      <c r="N5" s="8">
        <v>192.5</v>
      </c>
      <c r="O5" s="8">
        <v>192.5</v>
      </c>
      <c r="P5" s="8">
        <v>192.5</v>
      </c>
      <c r="Q5" s="8">
        <v>192.5</v>
      </c>
    </row>
    <row r="6" spans="1:17" x14ac:dyDescent="0.35">
      <c r="A6" t="s">
        <v>105</v>
      </c>
      <c r="B6" s="6">
        <v>4</v>
      </c>
      <c r="C6" s="8">
        <v>100</v>
      </c>
      <c r="D6" s="8">
        <v>133</v>
      </c>
      <c r="E6" s="8">
        <v>133</v>
      </c>
      <c r="F6" s="8">
        <v>170</v>
      </c>
      <c r="G6" s="8">
        <v>170</v>
      </c>
      <c r="H6" s="8">
        <v>215</v>
      </c>
      <c r="I6" s="8">
        <v>215</v>
      </c>
      <c r="J6" s="8">
        <v>290</v>
      </c>
      <c r="K6" s="8">
        <v>290</v>
      </c>
      <c r="L6" s="8">
        <v>290</v>
      </c>
      <c r="M6" s="8">
        <v>290</v>
      </c>
      <c r="N6" s="8">
        <v>290</v>
      </c>
      <c r="O6" s="8">
        <v>290</v>
      </c>
      <c r="P6" s="8">
        <v>290</v>
      </c>
      <c r="Q6" s="8">
        <v>290</v>
      </c>
    </row>
    <row r="7" spans="1:17" x14ac:dyDescent="0.35">
      <c r="A7" t="s">
        <v>106</v>
      </c>
      <c r="B7" s="6">
        <v>5</v>
      </c>
      <c r="C7" s="8">
        <v>100</v>
      </c>
      <c r="D7" s="8">
        <v>121</v>
      </c>
      <c r="E7" s="8">
        <v>121</v>
      </c>
      <c r="F7" s="8">
        <v>158</v>
      </c>
      <c r="G7" s="8">
        <v>158</v>
      </c>
      <c r="H7" s="8">
        <v>195</v>
      </c>
      <c r="I7" s="8">
        <v>195</v>
      </c>
      <c r="J7" s="8">
        <v>260</v>
      </c>
      <c r="K7" s="8">
        <v>260</v>
      </c>
      <c r="L7" s="8">
        <v>260</v>
      </c>
      <c r="M7" s="8">
        <v>260</v>
      </c>
      <c r="N7" s="8">
        <v>260</v>
      </c>
      <c r="O7" s="8">
        <v>260</v>
      </c>
      <c r="P7" s="8">
        <v>260</v>
      </c>
      <c r="Q7" s="8">
        <v>260</v>
      </c>
    </row>
    <row r="8" spans="1:17" x14ac:dyDescent="0.35">
      <c r="A8" t="s">
        <v>107</v>
      </c>
      <c r="B8" s="6">
        <v>6</v>
      </c>
      <c r="C8" s="8">
        <v>152.5</v>
      </c>
      <c r="D8" s="8">
        <v>152.5</v>
      </c>
      <c r="E8" s="8">
        <v>152.5</v>
      </c>
      <c r="F8" s="8">
        <v>152.5</v>
      </c>
      <c r="G8" s="8">
        <v>152.5</v>
      </c>
      <c r="H8" s="8">
        <v>152.5</v>
      </c>
      <c r="I8" s="8">
        <v>152.5</v>
      </c>
      <c r="J8" s="8">
        <v>152.5</v>
      </c>
      <c r="K8" s="8">
        <v>152.5</v>
      </c>
      <c r="L8" s="8">
        <v>152.5</v>
      </c>
      <c r="M8" s="8">
        <v>152.5</v>
      </c>
      <c r="N8" s="8">
        <v>152.5</v>
      </c>
      <c r="O8" s="8">
        <v>152.5</v>
      </c>
      <c r="P8" s="8">
        <v>152.5</v>
      </c>
      <c r="Q8" s="8">
        <v>152.5</v>
      </c>
    </row>
    <row r="9" spans="1:17" x14ac:dyDescent="0.35">
      <c r="A9" t="s">
        <v>108</v>
      </c>
      <c r="B9" s="6">
        <v>7</v>
      </c>
      <c r="C9" s="8">
        <v>100</v>
      </c>
      <c r="D9" s="8">
        <v>149</v>
      </c>
      <c r="E9" s="8">
        <v>167.5</v>
      </c>
      <c r="F9" s="8">
        <v>220</v>
      </c>
      <c r="G9" s="8">
        <v>220</v>
      </c>
      <c r="H9" s="8">
        <v>220</v>
      </c>
      <c r="I9" s="8">
        <v>220</v>
      </c>
      <c r="J9" s="8">
        <v>220</v>
      </c>
      <c r="K9" s="8">
        <v>220</v>
      </c>
      <c r="L9" s="8">
        <v>220</v>
      </c>
      <c r="M9" s="8">
        <v>220</v>
      </c>
      <c r="N9" s="8">
        <v>220</v>
      </c>
      <c r="O9" s="8">
        <v>220</v>
      </c>
      <c r="P9" s="8">
        <v>220</v>
      </c>
      <c r="Q9" s="8">
        <v>220</v>
      </c>
    </row>
    <row r="10" spans="1:17" x14ac:dyDescent="0.35">
      <c r="A10" t="s">
        <v>109</v>
      </c>
      <c r="B10" s="6">
        <v>8</v>
      </c>
      <c r="C10" s="8">
        <v>100</v>
      </c>
      <c r="D10" s="8">
        <v>135</v>
      </c>
      <c r="E10" s="8">
        <v>135</v>
      </c>
      <c r="F10" s="8">
        <v>170</v>
      </c>
      <c r="G10" s="8">
        <v>170</v>
      </c>
      <c r="H10" s="8">
        <v>205</v>
      </c>
      <c r="I10" s="8">
        <v>205</v>
      </c>
      <c r="J10" s="8">
        <v>290</v>
      </c>
      <c r="K10" s="8">
        <v>290</v>
      </c>
      <c r="L10" s="8">
        <v>290</v>
      </c>
      <c r="M10" s="8">
        <v>290</v>
      </c>
      <c r="N10" s="8">
        <v>290</v>
      </c>
      <c r="O10" s="8">
        <v>290</v>
      </c>
      <c r="P10" s="8">
        <v>290</v>
      </c>
      <c r="Q10" s="8">
        <v>290</v>
      </c>
    </row>
    <row r="11" spans="1:17" x14ac:dyDescent="0.35">
      <c r="A11" t="s">
        <v>110</v>
      </c>
      <c r="B11" s="6">
        <v>9</v>
      </c>
      <c r="C11" s="8">
        <v>100</v>
      </c>
      <c r="D11" s="8">
        <v>100</v>
      </c>
      <c r="E11" s="8">
        <v>145.5</v>
      </c>
      <c r="F11" s="8">
        <v>145.5</v>
      </c>
      <c r="G11" s="8">
        <v>145.5</v>
      </c>
      <c r="H11" s="8">
        <v>199</v>
      </c>
      <c r="I11" s="8">
        <v>199</v>
      </c>
      <c r="J11" s="8">
        <v>199</v>
      </c>
      <c r="K11" s="8">
        <v>272.5</v>
      </c>
      <c r="L11" s="8">
        <v>272.5</v>
      </c>
      <c r="M11" s="8">
        <v>272.5</v>
      </c>
      <c r="N11" s="8">
        <v>272.5</v>
      </c>
      <c r="O11" s="8">
        <v>272.5</v>
      </c>
      <c r="P11" s="8">
        <v>272.5</v>
      </c>
      <c r="Q11" s="8">
        <v>272.5</v>
      </c>
    </row>
    <row r="12" spans="1:17" x14ac:dyDescent="0.35">
      <c r="A12" t="s">
        <v>111</v>
      </c>
      <c r="B12" s="6">
        <v>10</v>
      </c>
      <c r="C12" s="8">
        <v>100</v>
      </c>
      <c r="D12" s="8">
        <v>149</v>
      </c>
      <c r="E12" s="8">
        <v>167.5</v>
      </c>
      <c r="F12" s="8">
        <v>190</v>
      </c>
      <c r="G12" s="8">
        <v>232.5</v>
      </c>
      <c r="H12" s="8">
        <v>232.5</v>
      </c>
      <c r="I12" s="8">
        <v>232.5</v>
      </c>
      <c r="J12" s="8">
        <v>232.5</v>
      </c>
      <c r="K12" s="8">
        <v>232.5</v>
      </c>
      <c r="L12" s="8">
        <v>232.5</v>
      </c>
      <c r="M12" s="8">
        <v>232.5</v>
      </c>
      <c r="N12" s="8">
        <v>232.5</v>
      </c>
      <c r="O12" s="8">
        <v>232.5</v>
      </c>
      <c r="P12" s="8">
        <v>232.5</v>
      </c>
      <c r="Q12" s="8">
        <v>232.5</v>
      </c>
    </row>
    <row r="13" spans="1:17" x14ac:dyDescent="0.35">
      <c r="A13" t="s">
        <v>112</v>
      </c>
      <c r="B13" s="6">
        <v>11</v>
      </c>
      <c r="C13" s="8">
        <v>100</v>
      </c>
      <c r="D13" s="8">
        <v>100</v>
      </c>
      <c r="E13" s="8">
        <v>145.5</v>
      </c>
      <c r="F13" s="8">
        <v>145.5</v>
      </c>
      <c r="G13" s="8">
        <v>145.5</v>
      </c>
      <c r="H13" s="8">
        <v>199</v>
      </c>
      <c r="I13" s="8">
        <v>199</v>
      </c>
      <c r="J13" s="8">
        <v>199</v>
      </c>
      <c r="K13" s="8">
        <v>282.5</v>
      </c>
      <c r="L13" s="8">
        <v>282.5</v>
      </c>
      <c r="M13" s="8">
        <v>282.5</v>
      </c>
      <c r="N13" s="8">
        <v>282.5</v>
      </c>
      <c r="O13" s="8">
        <v>282.5</v>
      </c>
      <c r="P13" s="8">
        <v>282.5</v>
      </c>
      <c r="Q13" s="8">
        <v>282.5</v>
      </c>
    </row>
    <row r="14" spans="1:17" x14ac:dyDescent="0.35">
      <c r="A14" t="s">
        <v>113</v>
      </c>
      <c r="B14" s="6">
        <v>12</v>
      </c>
      <c r="C14" s="8">
        <v>152.5</v>
      </c>
      <c r="D14" s="8">
        <v>152.5</v>
      </c>
      <c r="E14" s="8">
        <v>152.5</v>
      </c>
      <c r="F14" s="8">
        <v>152.5</v>
      </c>
      <c r="G14" s="8">
        <v>152.5</v>
      </c>
      <c r="H14" s="8">
        <v>152.5</v>
      </c>
      <c r="I14" s="8">
        <v>152.5</v>
      </c>
      <c r="J14" s="8">
        <v>152.5</v>
      </c>
      <c r="K14" s="8">
        <v>152.5</v>
      </c>
      <c r="L14" s="8">
        <v>152.5</v>
      </c>
      <c r="M14" s="8">
        <v>152.5</v>
      </c>
      <c r="N14" s="8">
        <v>152.5</v>
      </c>
      <c r="O14" s="8">
        <v>152.5</v>
      </c>
      <c r="P14" s="8">
        <v>152.5</v>
      </c>
      <c r="Q14" s="8">
        <v>152.5</v>
      </c>
    </row>
    <row r="18" spans="1:37" s="5" customFormat="1" x14ac:dyDescent="0.35">
      <c r="A18" s="5" t="s">
        <v>114</v>
      </c>
      <c r="B18" s="7" t="s">
        <v>115</v>
      </c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</row>
    <row r="19" spans="1:37" x14ac:dyDescent="0.35">
      <c r="A19" t="s">
        <v>165</v>
      </c>
      <c r="B19" s="6">
        <v>0</v>
      </c>
      <c r="C19">
        <v>100</v>
      </c>
      <c r="D19">
        <v>100</v>
      </c>
      <c r="E19">
        <v>100</v>
      </c>
      <c r="F19">
        <v>100</v>
      </c>
      <c r="G19">
        <v>100</v>
      </c>
      <c r="H19">
        <v>100</v>
      </c>
      <c r="I19">
        <v>100</v>
      </c>
      <c r="J19">
        <v>100</v>
      </c>
      <c r="K19">
        <v>100</v>
      </c>
      <c r="L19">
        <v>100</v>
      </c>
      <c r="M19">
        <v>100</v>
      </c>
      <c r="N19">
        <v>100</v>
      </c>
      <c r="O19">
        <v>100</v>
      </c>
      <c r="P19">
        <v>100</v>
      </c>
      <c r="Q19">
        <v>100</v>
      </c>
    </row>
    <row r="20" spans="1:37" x14ac:dyDescent="0.35">
      <c r="A20" t="s">
        <v>116</v>
      </c>
      <c r="B20" s="6">
        <v>1</v>
      </c>
      <c r="C20" s="8">
        <v>100</v>
      </c>
      <c r="D20" s="8">
        <v>135</v>
      </c>
      <c r="E20" s="8">
        <v>135</v>
      </c>
      <c r="F20" s="8">
        <v>180</v>
      </c>
      <c r="G20" s="8">
        <v>180</v>
      </c>
      <c r="H20" s="8">
        <v>235</v>
      </c>
      <c r="I20" s="8">
        <v>235</v>
      </c>
      <c r="J20" s="8">
        <v>235</v>
      </c>
      <c r="K20" s="8">
        <v>235</v>
      </c>
      <c r="L20" s="8">
        <v>235</v>
      </c>
      <c r="M20" s="8">
        <v>235</v>
      </c>
      <c r="N20" s="8">
        <v>235</v>
      </c>
      <c r="O20" s="8">
        <v>235</v>
      </c>
      <c r="P20" s="8">
        <v>235</v>
      </c>
      <c r="Q20" s="8">
        <v>235</v>
      </c>
    </row>
    <row r="21" spans="1:37" x14ac:dyDescent="0.35">
      <c r="A21" t="s">
        <v>117</v>
      </c>
      <c r="B21" s="6">
        <v>2</v>
      </c>
      <c r="C21" s="8">
        <v>100</v>
      </c>
      <c r="D21" s="8">
        <v>133</v>
      </c>
      <c r="E21" s="8">
        <v>133</v>
      </c>
      <c r="F21" s="8">
        <v>170</v>
      </c>
      <c r="G21" s="8">
        <v>170</v>
      </c>
      <c r="H21" s="8">
        <v>245</v>
      </c>
      <c r="I21" s="8">
        <v>245</v>
      </c>
      <c r="J21" s="8">
        <v>245</v>
      </c>
      <c r="K21" s="8">
        <v>245</v>
      </c>
      <c r="L21" s="8">
        <v>245</v>
      </c>
      <c r="M21" s="8">
        <v>245</v>
      </c>
      <c r="N21" s="8">
        <v>245</v>
      </c>
      <c r="O21" s="8">
        <v>245</v>
      </c>
      <c r="P21" s="8">
        <v>245</v>
      </c>
      <c r="Q21" s="8">
        <v>245</v>
      </c>
    </row>
    <row r="22" spans="1:37" x14ac:dyDescent="0.35">
      <c r="A22" t="s">
        <v>118</v>
      </c>
      <c r="B22" s="6">
        <v>3</v>
      </c>
      <c r="C22" s="8">
        <v>100</v>
      </c>
      <c r="D22" s="8">
        <v>135</v>
      </c>
      <c r="E22" s="8">
        <v>135</v>
      </c>
      <c r="F22" s="8">
        <v>180</v>
      </c>
      <c r="G22" s="8">
        <v>180</v>
      </c>
      <c r="H22" s="8">
        <v>265</v>
      </c>
      <c r="I22" s="8">
        <v>265</v>
      </c>
      <c r="J22" s="8">
        <v>265</v>
      </c>
      <c r="K22" s="8">
        <v>265</v>
      </c>
      <c r="L22" s="8">
        <v>265</v>
      </c>
      <c r="M22" s="8">
        <v>265</v>
      </c>
      <c r="N22" s="8">
        <v>265</v>
      </c>
      <c r="O22" s="8">
        <v>265</v>
      </c>
      <c r="P22" s="8">
        <v>265</v>
      </c>
      <c r="Q22" s="8">
        <v>265</v>
      </c>
    </row>
    <row r="23" spans="1:37" x14ac:dyDescent="0.35">
      <c r="A23" t="s">
        <v>119</v>
      </c>
      <c r="B23" s="6">
        <v>4</v>
      </c>
      <c r="C23" s="8">
        <v>152.5</v>
      </c>
      <c r="D23" s="8">
        <v>152.5</v>
      </c>
      <c r="E23" s="8">
        <v>152.5</v>
      </c>
      <c r="F23" s="8">
        <v>152.5</v>
      </c>
      <c r="G23" s="8">
        <v>152.5</v>
      </c>
      <c r="H23" s="8">
        <v>152.5</v>
      </c>
      <c r="I23" s="8">
        <v>152.5</v>
      </c>
      <c r="J23" s="8">
        <v>152.5</v>
      </c>
      <c r="K23" s="8">
        <v>152.5</v>
      </c>
      <c r="L23" s="8">
        <v>152.5</v>
      </c>
      <c r="M23" s="8">
        <v>152.5</v>
      </c>
      <c r="N23" s="8">
        <v>152.5</v>
      </c>
      <c r="O23" s="8">
        <v>152.5</v>
      </c>
      <c r="P23" s="8">
        <v>152.5</v>
      </c>
      <c r="Q23" s="8">
        <v>152.5</v>
      </c>
    </row>
    <row r="24" spans="1:37" x14ac:dyDescent="0.35">
      <c r="A24" t="s">
        <v>120</v>
      </c>
      <c r="B24" s="6">
        <v>5</v>
      </c>
      <c r="C24" s="8">
        <v>100</v>
      </c>
      <c r="D24" s="8">
        <v>133</v>
      </c>
      <c r="E24" s="8">
        <v>147.5</v>
      </c>
      <c r="F24" s="8">
        <v>180</v>
      </c>
      <c r="G24" s="8">
        <v>180</v>
      </c>
      <c r="H24" s="8">
        <v>180</v>
      </c>
      <c r="I24" s="8">
        <v>180</v>
      </c>
      <c r="J24" s="8">
        <v>180</v>
      </c>
      <c r="K24" s="8">
        <v>180</v>
      </c>
      <c r="L24" s="8">
        <v>180</v>
      </c>
      <c r="M24" s="8">
        <v>180</v>
      </c>
      <c r="N24" s="8">
        <v>180</v>
      </c>
      <c r="O24" s="8">
        <v>180</v>
      </c>
      <c r="P24" s="8">
        <v>180</v>
      </c>
      <c r="Q24" s="8">
        <v>180</v>
      </c>
    </row>
    <row r="25" spans="1:37" x14ac:dyDescent="0.35">
      <c r="A25" t="s">
        <v>121</v>
      </c>
      <c r="B25" s="6">
        <v>6</v>
      </c>
      <c r="C25" s="8">
        <v>162.5</v>
      </c>
      <c r="D25" s="8">
        <v>162.5</v>
      </c>
      <c r="E25" s="8">
        <v>162.5</v>
      </c>
      <c r="F25" s="8">
        <v>162.5</v>
      </c>
      <c r="G25" s="8">
        <v>162.5</v>
      </c>
      <c r="H25" s="8">
        <v>162.5</v>
      </c>
      <c r="I25" s="8">
        <v>162.5</v>
      </c>
      <c r="J25" s="8">
        <v>162.5</v>
      </c>
      <c r="K25" s="8">
        <v>162.5</v>
      </c>
      <c r="L25" s="8">
        <v>162.5</v>
      </c>
      <c r="M25" s="8">
        <v>162.5</v>
      </c>
      <c r="N25" s="8">
        <v>162.5</v>
      </c>
      <c r="O25" s="8">
        <v>162.5</v>
      </c>
      <c r="P25" s="8">
        <v>162.5</v>
      </c>
      <c r="Q25" s="8">
        <v>162.5</v>
      </c>
    </row>
    <row r="26" spans="1:37" x14ac:dyDescent="0.35">
      <c r="A26" t="s">
        <v>122</v>
      </c>
      <c r="B26" s="6">
        <v>7</v>
      </c>
      <c r="C26" s="8">
        <v>100</v>
      </c>
      <c r="D26" s="8">
        <v>149</v>
      </c>
      <c r="E26" s="8">
        <v>149</v>
      </c>
      <c r="F26" s="8">
        <v>200</v>
      </c>
      <c r="G26" s="8">
        <v>200</v>
      </c>
      <c r="H26" s="8">
        <v>200</v>
      </c>
      <c r="I26" s="8">
        <v>200</v>
      </c>
      <c r="J26" s="8">
        <v>200</v>
      </c>
      <c r="K26" s="8">
        <v>200</v>
      </c>
      <c r="L26" s="8">
        <v>200</v>
      </c>
      <c r="M26" s="8">
        <v>200</v>
      </c>
      <c r="N26" s="8">
        <v>200</v>
      </c>
      <c r="O26" s="8">
        <v>200</v>
      </c>
      <c r="P26" s="8">
        <v>200</v>
      </c>
      <c r="Q26" s="8">
        <v>200</v>
      </c>
    </row>
    <row r="27" spans="1:37" x14ac:dyDescent="0.35">
      <c r="A27" t="s">
        <v>123</v>
      </c>
      <c r="B27" s="6">
        <v>8</v>
      </c>
      <c r="C27" s="8">
        <v>100</v>
      </c>
      <c r="D27" s="8">
        <v>120</v>
      </c>
      <c r="E27" s="8">
        <v>120</v>
      </c>
      <c r="F27" s="8">
        <v>160</v>
      </c>
      <c r="G27" s="8">
        <v>160</v>
      </c>
      <c r="H27" s="8">
        <v>215</v>
      </c>
      <c r="I27" s="8">
        <v>215</v>
      </c>
      <c r="J27" s="8">
        <v>215</v>
      </c>
      <c r="K27" s="8">
        <v>215</v>
      </c>
      <c r="L27" s="8">
        <v>215</v>
      </c>
      <c r="M27" s="8">
        <v>215</v>
      </c>
      <c r="N27" s="8">
        <v>215</v>
      </c>
      <c r="O27" s="8">
        <v>215</v>
      </c>
      <c r="P27" s="8">
        <v>215</v>
      </c>
      <c r="Q27" s="8">
        <v>215</v>
      </c>
    </row>
    <row r="28" spans="1:37" x14ac:dyDescent="0.35">
      <c r="A28" t="s">
        <v>124</v>
      </c>
      <c r="B28" s="6">
        <v>9</v>
      </c>
      <c r="C28" s="8">
        <v>100</v>
      </c>
      <c r="D28" s="8">
        <v>120</v>
      </c>
      <c r="E28" s="8">
        <v>120</v>
      </c>
      <c r="F28" s="8">
        <v>166</v>
      </c>
      <c r="G28" s="8">
        <v>166</v>
      </c>
      <c r="H28" s="8">
        <v>205</v>
      </c>
      <c r="I28" s="8">
        <v>205</v>
      </c>
      <c r="J28" s="8">
        <v>270</v>
      </c>
      <c r="K28" s="8">
        <v>270</v>
      </c>
      <c r="L28" s="8">
        <v>270</v>
      </c>
      <c r="M28" s="8">
        <v>270</v>
      </c>
      <c r="N28" s="8">
        <v>270</v>
      </c>
      <c r="O28" s="8">
        <v>270</v>
      </c>
      <c r="P28" s="8">
        <v>270</v>
      </c>
      <c r="Q28" s="8">
        <v>270</v>
      </c>
    </row>
    <row r="29" spans="1:37" x14ac:dyDescent="0.35">
      <c r="A29" t="s">
        <v>125</v>
      </c>
      <c r="B29" s="6">
        <v>10</v>
      </c>
      <c r="C29" s="8">
        <v>100</v>
      </c>
      <c r="D29" s="8">
        <v>145</v>
      </c>
      <c r="E29" s="8">
        <v>167.5</v>
      </c>
      <c r="F29" s="8">
        <v>190</v>
      </c>
      <c r="G29" s="8">
        <v>232.5</v>
      </c>
      <c r="H29" s="8">
        <v>232.5</v>
      </c>
      <c r="I29" s="8">
        <v>232.5</v>
      </c>
      <c r="J29" s="8">
        <v>232.5</v>
      </c>
      <c r="K29" s="8">
        <v>232.5</v>
      </c>
      <c r="L29" s="8">
        <v>232.5</v>
      </c>
      <c r="M29" s="8">
        <v>232.5</v>
      </c>
      <c r="N29" s="8">
        <v>232.5</v>
      </c>
      <c r="O29" s="8">
        <v>232.5</v>
      </c>
      <c r="P29" s="8">
        <v>232.5</v>
      </c>
      <c r="Q29" s="8">
        <v>232.5</v>
      </c>
    </row>
    <row r="30" spans="1:37" x14ac:dyDescent="0.35">
      <c r="A30" t="s">
        <v>126</v>
      </c>
      <c r="B30" s="6">
        <v>11</v>
      </c>
      <c r="C30" s="8">
        <v>100</v>
      </c>
      <c r="D30" s="8">
        <v>135</v>
      </c>
      <c r="E30" s="8">
        <v>135</v>
      </c>
      <c r="F30" s="8">
        <v>180</v>
      </c>
      <c r="G30" s="8">
        <v>180</v>
      </c>
      <c r="H30" s="8">
        <v>245</v>
      </c>
      <c r="I30" s="8">
        <v>245</v>
      </c>
      <c r="J30" s="8">
        <v>245</v>
      </c>
      <c r="K30" s="8">
        <v>245</v>
      </c>
      <c r="L30" s="8">
        <v>245</v>
      </c>
      <c r="M30" s="8">
        <v>245</v>
      </c>
      <c r="N30" s="8">
        <v>245</v>
      </c>
      <c r="O30" s="8">
        <v>245</v>
      </c>
      <c r="P30" s="8">
        <v>245</v>
      </c>
      <c r="Q30" s="8">
        <v>245</v>
      </c>
    </row>
    <row r="31" spans="1:37" x14ac:dyDescent="0.35">
      <c r="A31" t="s">
        <v>127</v>
      </c>
      <c r="B31" s="6">
        <v>12</v>
      </c>
      <c r="C31" s="8">
        <v>100</v>
      </c>
      <c r="D31" s="8">
        <v>135</v>
      </c>
      <c r="E31" s="8">
        <v>135</v>
      </c>
      <c r="F31" s="8">
        <v>180</v>
      </c>
      <c r="G31" s="8">
        <v>180</v>
      </c>
      <c r="H31" s="8">
        <v>235</v>
      </c>
      <c r="I31" s="8">
        <v>235</v>
      </c>
      <c r="J31" s="8">
        <v>235</v>
      </c>
      <c r="K31" s="8">
        <v>235</v>
      </c>
      <c r="L31" s="8">
        <v>235</v>
      </c>
      <c r="M31" s="8">
        <v>235</v>
      </c>
      <c r="N31" s="8">
        <v>235</v>
      </c>
      <c r="O31" s="8">
        <v>235</v>
      </c>
      <c r="P31" s="8">
        <v>235</v>
      </c>
      <c r="Q31" s="8">
        <v>235</v>
      </c>
    </row>
    <row r="32" spans="1:37" x14ac:dyDescent="0.35">
      <c r="A32" t="s">
        <v>128</v>
      </c>
      <c r="B32" s="6">
        <v>13</v>
      </c>
      <c r="C32" s="8">
        <v>100</v>
      </c>
      <c r="D32" s="8">
        <v>100</v>
      </c>
      <c r="E32" s="8">
        <v>145.5</v>
      </c>
      <c r="F32" s="8">
        <v>145.5</v>
      </c>
      <c r="G32" s="8">
        <v>145.5</v>
      </c>
      <c r="H32" s="8">
        <v>195</v>
      </c>
      <c r="I32" s="8">
        <v>195</v>
      </c>
      <c r="J32" s="8">
        <v>195</v>
      </c>
      <c r="K32" s="8">
        <v>272.5</v>
      </c>
      <c r="L32" s="8">
        <v>272.5</v>
      </c>
      <c r="M32" s="8">
        <v>272.5</v>
      </c>
      <c r="N32" s="8">
        <v>272.5</v>
      </c>
      <c r="O32" s="8">
        <v>272.5</v>
      </c>
      <c r="P32" s="8">
        <v>272.5</v>
      </c>
      <c r="Q32" s="8">
        <v>272.5</v>
      </c>
    </row>
    <row r="33" spans="1:17" x14ac:dyDescent="0.35">
      <c r="A33" t="s">
        <v>129</v>
      </c>
      <c r="B33" s="6">
        <v>14</v>
      </c>
      <c r="C33" s="8">
        <v>100</v>
      </c>
      <c r="D33" s="8">
        <v>135</v>
      </c>
      <c r="E33" s="8">
        <v>135</v>
      </c>
      <c r="F33" s="8">
        <v>180</v>
      </c>
      <c r="G33" s="8">
        <v>180</v>
      </c>
      <c r="H33" s="8">
        <v>255</v>
      </c>
      <c r="I33" s="8">
        <v>255</v>
      </c>
      <c r="J33" s="8">
        <v>255</v>
      </c>
      <c r="K33" s="8">
        <v>255</v>
      </c>
      <c r="L33" s="8">
        <v>255</v>
      </c>
      <c r="M33" s="8">
        <v>255</v>
      </c>
      <c r="N33" s="8">
        <v>255</v>
      </c>
      <c r="O33" s="8">
        <v>255</v>
      </c>
      <c r="P33" s="8">
        <v>255</v>
      </c>
      <c r="Q33" s="8">
        <v>255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BBC89-8835-4B5B-A09B-45FF7E3AEA87}">
  <sheetPr codeName="Sheet19"/>
  <dimension ref="A1:AK7"/>
  <sheetViews>
    <sheetView workbookViewId="0">
      <selection activeCell="AC23" sqref="AB23:AC23"/>
    </sheetView>
  </sheetViews>
  <sheetFormatPr defaultColWidth="4" defaultRowHeight="14.5" x14ac:dyDescent="0.35"/>
  <sheetData>
    <row r="1" spans="1:37" x14ac:dyDescent="0.35">
      <c r="A1" t="s">
        <v>384</v>
      </c>
      <c r="B1" t="s">
        <v>384</v>
      </c>
      <c r="C1" t="s">
        <v>384</v>
      </c>
      <c r="D1" t="s">
        <v>384</v>
      </c>
      <c r="E1" t="s">
        <v>384</v>
      </c>
      <c r="F1" t="s">
        <v>384</v>
      </c>
      <c r="G1" t="s">
        <v>384</v>
      </c>
      <c r="H1" t="s">
        <v>384</v>
      </c>
      <c r="I1" t="s">
        <v>384</v>
      </c>
      <c r="J1" t="s">
        <v>384</v>
      </c>
      <c r="K1" t="s">
        <v>384</v>
      </c>
      <c r="L1" t="s">
        <v>384</v>
      </c>
      <c r="M1" t="s">
        <v>384</v>
      </c>
      <c r="N1" t="s">
        <v>384</v>
      </c>
      <c r="O1" t="s">
        <v>384</v>
      </c>
      <c r="P1" t="s">
        <v>384</v>
      </c>
      <c r="Q1" t="s">
        <v>384</v>
      </c>
      <c r="R1" t="s">
        <v>384</v>
      </c>
      <c r="S1" t="s">
        <v>384</v>
      </c>
      <c r="T1" t="s">
        <v>384</v>
      </c>
      <c r="U1" t="s">
        <v>384</v>
      </c>
      <c r="V1" t="s">
        <v>384</v>
      </c>
      <c r="W1" t="s">
        <v>384</v>
      </c>
      <c r="X1" t="s">
        <v>384</v>
      </c>
      <c r="Y1" t="s">
        <v>384</v>
      </c>
      <c r="Z1" t="s">
        <v>384</v>
      </c>
      <c r="AA1" t="s">
        <v>384</v>
      </c>
      <c r="AB1" t="s">
        <v>384</v>
      </c>
      <c r="AC1" t="s">
        <v>384</v>
      </c>
      <c r="AD1" t="s">
        <v>384</v>
      </c>
      <c r="AE1" t="s">
        <v>384</v>
      </c>
      <c r="AF1" t="s">
        <v>384</v>
      </c>
      <c r="AG1" t="s">
        <v>384</v>
      </c>
      <c r="AH1" t="s">
        <v>384</v>
      </c>
      <c r="AI1" t="s">
        <v>384</v>
      </c>
      <c r="AJ1" t="s">
        <v>384</v>
      </c>
      <c r="AK1" t="s">
        <v>384</v>
      </c>
    </row>
    <row r="2" spans="1:37" x14ac:dyDescent="0.35">
      <c r="A2" t="str">
        <f>_xlfn.XLOOKUP(posnow!A1,crl!$B:$B,crl!$A:$A)</f>
        <v>Kayle</v>
      </c>
      <c r="B2" t="str">
        <f>_xlfn.XLOOKUP(posnow!B1,crl!$B:$B,crl!$A:$A)</f>
        <v>Ashe</v>
      </c>
      <c r="C2" t="e">
        <f>_xlfn.XLOOKUP(posnow!C1,crl!$B:$B,crl!$A:$A)</f>
        <v>#N/A</v>
      </c>
      <c r="D2" t="e">
        <f>_xlfn.XLOOKUP(posnow!D1,crl!$B:$B,crl!$A:$A)</f>
        <v>#N/A</v>
      </c>
      <c r="E2" t="e">
        <f>_xlfn.XLOOKUP(posnow!E1,crl!$B:$B,crl!$A:$A)</f>
        <v>#N/A</v>
      </c>
      <c r="F2" t="e">
        <f>_xlfn.XLOOKUP(posnow!F1,crl!$B:$B,crl!$A:$A)</f>
        <v>#N/A</v>
      </c>
      <c r="G2" t="str">
        <f>_xlfn.XLOOKUP(posnow!G1,crl!$B:$B,crl!$A:$A)</f>
        <v>Zyra</v>
      </c>
      <c r="H2" t="e">
        <f>_xlfn.XLOOKUP(posnow!H1,crl!$B:$B,crl!$A:$A)</f>
        <v>#N/A</v>
      </c>
      <c r="I2" t="str">
        <f>_xlfn.XLOOKUP(posnow!I1,crl!$B:$B,crl!$A:$A)</f>
        <v>Draven</v>
      </c>
      <c r="J2" t="e">
        <f>_xlfn.XLOOKUP(posnow!J1,crl!$B:$B,crl!$A:$A)</f>
        <v>#N/A</v>
      </c>
      <c r="K2" t="e">
        <f>_xlfn.XLOOKUP(posnow!K1,crl!$B:$B,crl!$A:$A)</f>
        <v>#N/A</v>
      </c>
      <c r="L2" t="e">
        <f>_xlfn.XLOOKUP(posnow!L1,crl!$B:$B,crl!$A:$A)</f>
        <v>#N/A</v>
      </c>
      <c r="M2" t="e">
        <f>_xlfn.XLOOKUP(posnow!M1,crl!$B:$B,crl!$A:$A)</f>
        <v>#N/A</v>
      </c>
      <c r="N2" t="e">
        <f>_xlfn.XLOOKUP(posnow!N1,crl!$B:$B,crl!$A:$A)</f>
        <v>#N/A</v>
      </c>
      <c r="O2" t="e">
        <f>_xlfn.XLOOKUP(posnow!O1,crl!$B:$B,crl!$A:$A)</f>
        <v>#N/A</v>
      </c>
      <c r="P2" t="e">
        <f>_xlfn.XLOOKUP(posnow!P1,crl!$B:$B,crl!$A:$A)</f>
        <v>#N/A</v>
      </c>
      <c r="Q2" t="e">
        <f>_xlfn.XLOOKUP(posnow!Q1,crl!$B:$B,crl!$A:$A)</f>
        <v>#N/A</v>
      </c>
      <c r="R2" t="e">
        <f>_xlfn.XLOOKUP(posnow!R1,crl!$B:$B,crl!$A:$A)</f>
        <v>#N/A</v>
      </c>
      <c r="S2" t="e">
        <f>_xlfn.XLOOKUP(posnow!S1,crl!$B:$B,crl!$A:$A)</f>
        <v>#N/A</v>
      </c>
      <c r="T2" t="e">
        <f>_xlfn.XLOOKUP(posnow!T1,crl!$B:$B,crl!$A:$A)</f>
        <v>#N/A</v>
      </c>
      <c r="U2" t="e">
        <f>_xlfn.XLOOKUP(posnow!U1,crl!$B:$B,crl!$A:$A)</f>
        <v>#N/A</v>
      </c>
      <c r="V2" t="str">
        <f>_xlfn.XLOOKUP(posnow!V1,crl!$B:$B,crl!$A:$A)</f>
        <v>Riven</v>
      </c>
      <c r="W2" t="str">
        <f>_xlfn.XLOOKUP(posnow!W1,crl!$B:$B,crl!$A:$A)</f>
        <v>Aatrox</v>
      </c>
      <c r="X2" t="str">
        <f>_xlfn.XLOOKUP(posnow!X1,crl!$B:$B,crl!$A:$A)</f>
        <v>Sett</v>
      </c>
      <c r="Y2" t="str">
        <f>_xlfn.XLOOKUP(posnow!Y1,crl!$B:$B,crl!$A:$A)</f>
        <v>Galio</v>
      </c>
      <c r="Z2" t="str">
        <f>_xlfn.XLOOKUP(posnow!Z1,crl!$B:$B,crl!$A:$A)</f>
        <v>Yasuo</v>
      </c>
      <c r="AA2" t="str">
        <f>_xlfn.XLOOKUP(posnow!AA1,crl!$B:$B,crl!$A:$A)</f>
        <v>Udyr</v>
      </c>
      <c r="AB2" t="e">
        <f>_xlfn.XLOOKUP(posnow!AB1,crl!$B:$B,crl!$A:$A)</f>
        <v>#N/A</v>
      </c>
      <c r="AC2" t="str">
        <f>_xlfn.XLOOKUP(posnow!AC1,crl!$B:$B,crl!$A:$A)</f>
        <v>Irelia</v>
      </c>
      <c r="AD2" t="str">
        <f>_xlfn.XLOOKUP(posnow!AD1,crl!$B:$B,crl!$A:$A)</f>
        <v>Draven</v>
      </c>
      <c r="AE2" t="str">
        <f>_xlfn.XLOOKUP(posnow!AE1,crl!$B:$B,crl!$A:$A)</f>
        <v>Heimerdinger</v>
      </c>
      <c r="AF2" t="str">
        <f>_xlfn.XLOOKUP(posnow!AF1,crl!$B:$B,crl!$A:$A)</f>
        <v>Jax</v>
      </c>
      <c r="AG2" t="str">
        <f>_xlfn.XLOOKUP(posnow!AG1,crl!$B:$B,crl!$A:$A)</f>
        <v>Irelia</v>
      </c>
      <c r="AH2" t="str">
        <f>_xlfn.XLOOKUP(posnow!AH1,crl!$B:$B,crl!$A:$A)</f>
        <v>Kalista</v>
      </c>
      <c r="AI2" t="str">
        <f>_xlfn.XLOOKUP(posnow!AI1,crl!$B:$B,crl!$A:$A)</f>
        <v>Galio</v>
      </c>
      <c r="AJ2" t="str">
        <f>_xlfn.XLOOKUP(posnow!AJ1,crl!$B:$B,crl!$A:$A)</f>
        <v>Fiddlesticks</v>
      </c>
      <c r="AK2" t="e">
        <f>_xlfn.XLOOKUP(posnow!AK1,crl!$B:$B,crl!$A:$A)</f>
        <v>#N/A</v>
      </c>
    </row>
    <row r="3" spans="1:37" x14ac:dyDescent="0.35">
      <c r="A3" t="s">
        <v>397</v>
      </c>
      <c r="B3" t="s">
        <v>397</v>
      </c>
      <c r="C3" t="s">
        <v>397</v>
      </c>
      <c r="D3" t="s">
        <v>397</v>
      </c>
      <c r="E3" t="s">
        <v>397</v>
      </c>
      <c r="F3" t="s">
        <v>397</v>
      </c>
      <c r="G3" t="s">
        <v>397</v>
      </c>
      <c r="H3" t="s">
        <v>397</v>
      </c>
      <c r="I3" t="s">
        <v>397</v>
      </c>
      <c r="J3" t="s">
        <v>397</v>
      </c>
      <c r="K3" t="s">
        <v>397</v>
      </c>
      <c r="L3" t="s">
        <v>397</v>
      </c>
      <c r="M3" t="s">
        <v>397</v>
      </c>
      <c r="N3" t="s">
        <v>397</v>
      </c>
      <c r="O3" t="s">
        <v>397</v>
      </c>
      <c r="P3" t="s">
        <v>397</v>
      </c>
      <c r="Q3" t="s">
        <v>397</v>
      </c>
      <c r="R3" t="s">
        <v>397</v>
      </c>
      <c r="S3" t="s">
        <v>397</v>
      </c>
      <c r="T3" t="s">
        <v>397</v>
      </c>
      <c r="U3" t="s">
        <v>397</v>
      </c>
      <c r="V3" t="s">
        <v>397</v>
      </c>
      <c r="W3" t="s">
        <v>397</v>
      </c>
      <c r="X3" t="s">
        <v>397</v>
      </c>
      <c r="Y3" t="s">
        <v>397</v>
      </c>
      <c r="Z3" t="s">
        <v>397</v>
      </c>
      <c r="AA3" t="s">
        <v>397</v>
      </c>
      <c r="AB3" t="s">
        <v>397</v>
      </c>
      <c r="AC3" t="s">
        <v>397</v>
      </c>
      <c r="AD3" t="s">
        <v>397</v>
      </c>
      <c r="AE3" t="s">
        <v>397</v>
      </c>
      <c r="AF3" t="s">
        <v>397</v>
      </c>
      <c r="AG3" t="s">
        <v>397</v>
      </c>
      <c r="AH3" t="s">
        <v>397</v>
      </c>
      <c r="AI3" t="s">
        <v>397</v>
      </c>
      <c r="AJ3" t="s">
        <v>397</v>
      </c>
      <c r="AK3" t="s">
        <v>397</v>
      </c>
    </row>
    <row r="4" spans="1:37" x14ac:dyDescent="0.35">
      <c r="A4" t="s">
        <v>394</v>
      </c>
      <c r="B4" t="s">
        <v>394</v>
      </c>
      <c r="C4" t="s">
        <v>394</v>
      </c>
      <c r="D4" t="s">
        <v>394</v>
      </c>
      <c r="E4" t="s">
        <v>394</v>
      </c>
      <c r="F4" t="s">
        <v>394</v>
      </c>
      <c r="G4" t="s">
        <v>394</v>
      </c>
      <c r="H4" t="s">
        <v>394</v>
      </c>
      <c r="I4" t="s">
        <v>394</v>
      </c>
      <c r="J4" t="s">
        <v>394</v>
      </c>
      <c r="K4" t="s">
        <v>394</v>
      </c>
      <c r="L4" t="s">
        <v>394</v>
      </c>
      <c r="M4" t="s">
        <v>394</v>
      </c>
      <c r="N4" t="s">
        <v>394</v>
      </c>
      <c r="O4" t="s">
        <v>394</v>
      </c>
      <c r="P4" t="s">
        <v>394</v>
      </c>
      <c r="Q4" t="s">
        <v>394</v>
      </c>
      <c r="R4" t="s">
        <v>394</v>
      </c>
      <c r="S4" t="s">
        <v>394</v>
      </c>
      <c r="T4" t="s">
        <v>394</v>
      </c>
      <c r="U4" t="s">
        <v>394</v>
      </c>
      <c r="V4" t="s">
        <v>394</v>
      </c>
      <c r="W4" t="s">
        <v>394</v>
      </c>
      <c r="X4" t="s">
        <v>394</v>
      </c>
      <c r="Y4" t="s">
        <v>394</v>
      </c>
      <c r="Z4" t="s">
        <v>394</v>
      </c>
      <c r="AA4" t="s">
        <v>394</v>
      </c>
      <c r="AB4" t="s">
        <v>394</v>
      </c>
      <c r="AC4" t="s">
        <v>394</v>
      </c>
      <c r="AD4" t="s">
        <v>394</v>
      </c>
      <c r="AE4" t="s">
        <v>394</v>
      </c>
      <c r="AF4" t="s">
        <v>394</v>
      </c>
      <c r="AG4" t="s">
        <v>394</v>
      </c>
      <c r="AH4" t="s">
        <v>394</v>
      </c>
      <c r="AI4" t="s">
        <v>394</v>
      </c>
      <c r="AJ4" t="s">
        <v>394</v>
      </c>
      <c r="AK4" t="s">
        <v>394</v>
      </c>
    </row>
    <row r="5" spans="1:37" x14ac:dyDescent="0.35">
      <c r="A5" cm="1">
        <f t="array" aca="1" ref="A5" ca="1">INDIRECT("'hp"&amp;posnow!A5&amp;"'!A"&amp;posnow!A1)</f>
        <v>800</v>
      </c>
      <c r="B5" cm="1">
        <f t="array" aca="1" ref="B5" ca="1">INDIRECT("'hp"&amp;posnow!B5&amp;"'!A"&amp;posnow!B1)</f>
        <v>1080</v>
      </c>
      <c r="C5" t="e" cm="1">
        <f t="array" aca="1" ref="C5" ca="1">INDIRECT("'hp"&amp;posnow!C5&amp;"'!A"&amp;posnow!C1)</f>
        <v>#REF!</v>
      </c>
      <c r="D5" t="e" cm="1">
        <f t="array" aca="1" ref="D5" ca="1">INDIRECT("'hp"&amp;posnow!D5&amp;"'!A"&amp;posnow!D1)</f>
        <v>#REF!</v>
      </c>
      <c r="E5" t="e" cm="1">
        <f t="array" aca="1" ref="E5" ca="1">INDIRECT("'hp"&amp;posnow!E5&amp;"'!A"&amp;posnow!E1)</f>
        <v>#REF!</v>
      </c>
      <c r="F5" t="e" cm="1">
        <f t="array" aca="1" ref="F5" ca="1">INDIRECT("'hp"&amp;posnow!F5&amp;"'!A"&amp;posnow!F1)</f>
        <v>#REF!</v>
      </c>
      <c r="G5" cm="1">
        <f t="array" aca="1" ref="G5" ca="1">INDIRECT("'hp"&amp;posnow!G5&amp;"'!A"&amp;posnow!G1)</f>
        <v>1080</v>
      </c>
      <c r="H5" t="e" cm="1">
        <f t="array" aca="1" ref="H5" ca="1">INDIRECT("'hp"&amp;posnow!H5&amp;"'!A"&amp;posnow!H1)</f>
        <v>#REF!</v>
      </c>
      <c r="I5" cm="1">
        <f t="array" aca="1" ref="I5" ca="1">INDIRECT("'hp"&amp;posnow!I5&amp;"'!A"&amp;posnow!I1)</f>
        <v>700</v>
      </c>
      <c r="J5" t="e" cm="1">
        <f t="array" aca="1" ref="J5" ca="1">INDIRECT("'hp"&amp;posnow!J5&amp;"'!A"&amp;posnow!J1)</f>
        <v>#REF!</v>
      </c>
      <c r="K5" t="e" cm="1">
        <f t="array" aca="1" ref="K5" ca="1">INDIRECT("'hp"&amp;posnow!K5&amp;"'!A"&amp;posnow!K1)</f>
        <v>#REF!</v>
      </c>
      <c r="L5" t="e" cm="1">
        <f t="array" aca="1" ref="L5" ca="1">INDIRECT("'hp"&amp;posnow!L5&amp;"'!A"&amp;posnow!L1)</f>
        <v>#REF!</v>
      </c>
      <c r="M5" t="e" cm="1">
        <f t="array" aca="1" ref="M5" ca="1">INDIRECT("'hp"&amp;posnow!M5&amp;"'!A"&amp;posnow!M1)</f>
        <v>#REF!</v>
      </c>
      <c r="N5" t="e" cm="1">
        <f t="array" aca="1" ref="N5" ca="1">INDIRECT("'hp"&amp;posnow!N5&amp;"'!A"&amp;posnow!N1)</f>
        <v>#REF!</v>
      </c>
      <c r="O5" t="e" cm="1">
        <f t="array" aca="1" ref="O5" ca="1">INDIRECT("'hp"&amp;posnow!O5&amp;"'!A"&amp;posnow!O1)</f>
        <v>#REF!</v>
      </c>
      <c r="P5" t="e" cm="1">
        <f t="array" aca="1" ref="P5" ca="1">INDIRECT("'hp"&amp;posnow!P5&amp;"'!A"&amp;posnow!P1)</f>
        <v>#REF!</v>
      </c>
      <c r="Q5" t="e" cm="1">
        <f t="array" aca="1" ref="Q5" ca="1">INDIRECT("'hp"&amp;posnow!Q5&amp;"'!A"&amp;posnow!Q1)</f>
        <v>#REF!</v>
      </c>
      <c r="R5" t="e" cm="1">
        <f t="array" aca="1" ref="R5" ca="1">INDIRECT("'hp"&amp;posnow!R5&amp;"'!A"&amp;posnow!R1)</f>
        <v>#REF!</v>
      </c>
      <c r="S5" t="e" cm="1">
        <f t="array" aca="1" ref="S5" ca="1">INDIRECT("'hp"&amp;posnow!S5&amp;"'!A"&amp;posnow!S1)</f>
        <v>#REF!</v>
      </c>
      <c r="T5" t="e" cm="1">
        <f t="array" aca="1" ref="T5" ca="1">INDIRECT("'hp"&amp;posnow!T5&amp;"'!A"&amp;posnow!T1)</f>
        <v>#REF!</v>
      </c>
      <c r="U5" t="e" cm="1">
        <f t="array" aca="1" ref="U5" ca="1">INDIRECT("'hp"&amp;posnow!U5&amp;"'!A"&amp;posnow!U1)</f>
        <v>#REF!</v>
      </c>
      <c r="V5" cm="1">
        <f t="array" aca="1" ref="V5" ca="1">INDIRECT("'hp"&amp;posnow!V5&amp;"'!A"&amp;posnow!V1)</f>
        <v>1440</v>
      </c>
      <c r="W5" cm="1">
        <f t="array" aca="1" ref="W5" ca="1">INDIRECT("'hp"&amp;posnow!W5&amp;"'!A"&amp;posnow!W1)</f>
        <v>1170</v>
      </c>
      <c r="X5" cm="1">
        <f t="array" aca="1" ref="X5" ca="1">INDIRECT("'hp"&amp;posnow!X5&amp;"'!A"&amp;posnow!X1)</f>
        <v>1440</v>
      </c>
      <c r="Y5" cm="1">
        <f t="array" aca="1" ref="Y5" ca="1">INDIRECT("'hp"&amp;posnow!Y5&amp;"'!A"&amp;posnow!Y1)</f>
        <v>1800</v>
      </c>
      <c r="Z5" cm="1">
        <f t="array" aca="1" ref="Z5" ca="1">INDIRECT("'hp"&amp;posnow!Z5&amp;"'!A"&amp;posnow!Z1)</f>
        <v>1440</v>
      </c>
      <c r="AA5" cm="1">
        <f t="array" aca="1" ref="AA5" ca="1">INDIRECT("'hp"&amp;posnow!AA5&amp;"'!A"&amp;posnow!AA1)</f>
        <v>1260</v>
      </c>
      <c r="AB5" t="e" cm="1">
        <f t="array" aca="1" ref="AB5" ca="1">INDIRECT("'hp"&amp;posnow!AB5&amp;"'!A"&amp;posnow!AB1)</f>
        <v>#REF!</v>
      </c>
      <c r="AC5" cm="1">
        <f t="array" aca="1" ref="AC5" ca="1">INDIRECT("'hp"&amp;posnow!AC5&amp;"'!A"&amp;posnow!AC1)</f>
        <v>750</v>
      </c>
      <c r="AD5" cm="1">
        <f t="array" aca="1" ref="AD5" ca="1">INDIRECT("'hp"&amp;posnow!AD5&amp;"'!A"&amp;posnow!AD1)</f>
        <v>700</v>
      </c>
      <c r="AE5" cm="1">
        <f t="array" aca="1" ref="AE5" ca="1">INDIRECT("'hp"&amp;posnow!AE5&amp;"'!A"&amp;posnow!AE1)</f>
        <v>800</v>
      </c>
      <c r="AF5" cm="1">
        <f t="array" aca="1" ref="AF5" ca="1">INDIRECT("'hp"&amp;posnow!AF5&amp;"'!A"&amp;posnow!AF1)</f>
        <v>950</v>
      </c>
      <c r="AG5" cm="1">
        <f t="array" aca="1" ref="AG5" ca="1">INDIRECT("'hp"&amp;posnow!AG5&amp;"'!A"&amp;posnow!AG1)</f>
        <v>750</v>
      </c>
      <c r="AH5" cm="1">
        <f t="array" aca="1" ref="AH5" ca="1">INDIRECT("'hp"&amp;posnow!AH5&amp;"'!A"&amp;posnow!AH1)</f>
        <v>900</v>
      </c>
      <c r="AI5" cm="1">
        <f t="array" aca="1" ref="AI5" ca="1">INDIRECT("'hp"&amp;posnow!AI5&amp;"'!A"&amp;posnow!AI1)</f>
        <v>1000</v>
      </c>
      <c r="AJ5" cm="1">
        <f t="array" aca="1" ref="AJ5" ca="1">INDIRECT("'hp"&amp;posnow!AJ5&amp;"'!A"&amp;posnow!AJ1)</f>
        <v>800</v>
      </c>
      <c r="AK5" t="e" cm="1">
        <f t="array" aca="1" ref="AK5" ca="1">INDIRECT("'hp"&amp;posnow!AK5&amp;"'!A"&amp;posnow!AK1)</f>
        <v>#REF!</v>
      </c>
    </row>
    <row r="6" spans="1:37" x14ac:dyDescent="0.35">
      <c r="A6" t="s">
        <v>385</v>
      </c>
      <c r="B6" t="s">
        <v>385</v>
      </c>
      <c r="C6" t="s">
        <v>385</v>
      </c>
      <c r="D6" t="s">
        <v>385</v>
      </c>
      <c r="E6" t="s">
        <v>385</v>
      </c>
      <c r="F6" t="s">
        <v>385</v>
      </c>
      <c r="G6" t="s">
        <v>385</v>
      </c>
      <c r="H6" t="s">
        <v>385</v>
      </c>
      <c r="I6" t="s">
        <v>385</v>
      </c>
      <c r="J6" t="s">
        <v>385</v>
      </c>
      <c r="K6" t="s">
        <v>385</v>
      </c>
      <c r="L6" t="s">
        <v>385</v>
      </c>
      <c r="M6" t="s">
        <v>385</v>
      </c>
      <c r="N6" t="s">
        <v>385</v>
      </c>
      <c r="O6" t="s">
        <v>385</v>
      </c>
      <c r="P6" t="s">
        <v>385</v>
      </c>
      <c r="Q6" t="s">
        <v>385</v>
      </c>
      <c r="R6" t="s">
        <v>385</v>
      </c>
      <c r="S6" t="s">
        <v>385</v>
      </c>
      <c r="T6" t="s">
        <v>385</v>
      </c>
      <c r="U6" t="s">
        <v>385</v>
      </c>
      <c r="V6" t="s">
        <v>385</v>
      </c>
      <c r="W6" t="s">
        <v>385</v>
      </c>
      <c r="X6" t="s">
        <v>385</v>
      </c>
      <c r="Y6" t="s">
        <v>385</v>
      </c>
      <c r="Z6" t="s">
        <v>385</v>
      </c>
      <c r="AA6" t="s">
        <v>385</v>
      </c>
      <c r="AB6" t="s">
        <v>385</v>
      </c>
      <c r="AC6" t="s">
        <v>385</v>
      </c>
      <c r="AD6" t="s">
        <v>385</v>
      </c>
      <c r="AE6" t="s">
        <v>385</v>
      </c>
      <c r="AF6" t="s">
        <v>385</v>
      </c>
      <c r="AG6" t="s">
        <v>385</v>
      </c>
      <c r="AH6" t="s">
        <v>385</v>
      </c>
      <c r="AI6" t="s">
        <v>385</v>
      </c>
      <c r="AJ6" t="s">
        <v>385</v>
      </c>
      <c r="AK6" t="s">
        <v>385</v>
      </c>
    </row>
    <row r="7" spans="1:37" x14ac:dyDescent="0.35">
      <c r="A7" t="str">
        <f t="shared" ref="A7:AK7" ca="1" si="0">IFERROR(A1&amp;A2&amp;A3&amp;A4&amp;A5&amp;A6,"")</f>
        <v>{"name":"TFT5_Kayle",disname:U2000432_TFT5_Kalista_1","type":5,"block":3,"hp":800}</v>
      </c>
      <c r="B7" t="str">
        <f t="shared" ca="1" si="0"/>
        <v>{"name":"TFT5_Ashe",disname:U2000432_TFT5_Kalista_1","type":5,"block":3,"hp":1080}</v>
      </c>
      <c r="C7" t="str">
        <f t="shared" ca="1" si="0"/>
        <v/>
      </c>
      <c r="D7" t="str">
        <f t="shared" ca="1" si="0"/>
        <v/>
      </c>
      <c r="E7" t="str">
        <f t="shared" ca="1" si="0"/>
        <v/>
      </c>
      <c r="F7" t="str">
        <f t="shared" ca="1" si="0"/>
        <v/>
      </c>
      <c r="G7" t="str">
        <f t="shared" ca="1" si="0"/>
        <v>{"name":"TFT5_Zyra",disname:U2000432_TFT5_Kalista_1","type":5,"block":3,"hp":1080}</v>
      </c>
      <c r="H7" t="str">
        <f t="shared" ca="1" si="0"/>
        <v/>
      </c>
      <c r="I7" t="str">
        <f t="shared" ca="1" si="0"/>
        <v>{"name":"TFT5_Draven",disname:U2000432_TFT5_Kalista_1","type":5,"block":3,"hp":700}</v>
      </c>
      <c r="J7" t="str">
        <f t="shared" ca="1" si="0"/>
        <v/>
      </c>
      <c r="K7" t="str">
        <f t="shared" ca="1" si="0"/>
        <v/>
      </c>
      <c r="L7" t="str">
        <f t="shared" ca="1" si="0"/>
        <v/>
      </c>
      <c r="M7" t="str">
        <f t="shared" ca="1" si="0"/>
        <v/>
      </c>
      <c r="N7" t="str">
        <f t="shared" ca="1" si="0"/>
        <v/>
      </c>
      <c r="O7" t="str">
        <f t="shared" ca="1" si="0"/>
        <v/>
      </c>
      <c r="P7" t="str">
        <f t="shared" ca="1" si="0"/>
        <v/>
      </c>
      <c r="Q7" t="str">
        <f t="shared" ca="1" si="0"/>
        <v/>
      </c>
      <c r="R7" t="str">
        <f t="shared" ca="1" si="0"/>
        <v/>
      </c>
      <c r="S7" t="str">
        <f t="shared" ca="1" si="0"/>
        <v/>
      </c>
      <c r="T7" t="str">
        <f t="shared" ca="1" si="0"/>
        <v/>
      </c>
      <c r="U7" t="str">
        <f t="shared" ca="1" si="0"/>
        <v/>
      </c>
      <c r="V7" t="str">
        <f t="shared" ca="1" si="0"/>
        <v>{"name":"TFT5_Riven",disname:U2000432_TFT5_Kalista_1","type":5,"block":3,"hp":1440}</v>
      </c>
      <c r="W7" t="str">
        <f t="shared" ca="1" si="0"/>
        <v>{"name":"TFT5_Aatrox",disname:U2000432_TFT5_Kalista_1","type":5,"block":3,"hp":1170}</v>
      </c>
      <c r="X7" t="str">
        <f t="shared" ca="1" si="0"/>
        <v>{"name":"TFT5_Sett",disname:U2000432_TFT5_Kalista_1","type":5,"block":3,"hp":1440}</v>
      </c>
      <c r="Y7" t="str">
        <f t="shared" ca="1" si="0"/>
        <v>{"name":"TFT5_Galio",disname:U2000432_TFT5_Kalista_1","type":5,"block":3,"hp":1800}</v>
      </c>
      <c r="Z7" t="str">
        <f t="shared" ca="1" si="0"/>
        <v>{"name":"TFT5_Yasuo",disname:U2000432_TFT5_Kalista_1","type":5,"block":3,"hp":1440}</v>
      </c>
      <c r="AA7" t="str">
        <f t="shared" ca="1" si="0"/>
        <v>{"name":"TFT5_Udyr",disname:U2000432_TFT5_Kalista_1","type":5,"block":3,"hp":1260}</v>
      </c>
      <c r="AB7" t="str">
        <f t="shared" ca="1" si="0"/>
        <v/>
      </c>
      <c r="AC7" t="str">
        <f t="shared" ca="1" si="0"/>
        <v>{"name":"TFT5_Irelia",disname:U2000432_TFT5_Kalista_1","type":5,"block":3,"hp":750}</v>
      </c>
      <c r="AD7" t="str">
        <f t="shared" ca="1" si="0"/>
        <v>{"name":"TFT5_Draven",disname:U2000432_TFT5_Kalista_1","type":5,"block":3,"hp":700}</v>
      </c>
      <c r="AE7" t="str">
        <f t="shared" ca="1" si="0"/>
        <v>{"name":"TFT5_Heimerdinger",disname:U2000432_TFT5_Kalista_1","type":5,"block":3,"hp":800}</v>
      </c>
      <c r="AF7" t="str">
        <f t="shared" ca="1" si="0"/>
        <v>{"name":"TFT5_Jax",disname:U2000432_TFT5_Kalista_1","type":5,"block":3,"hp":950}</v>
      </c>
      <c r="AG7" t="str">
        <f t="shared" ca="1" si="0"/>
        <v>{"name":"TFT5_Irelia",disname:U2000432_TFT5_Kalista_1","type":5,"block":3,"hp":750}</v>
      </c>
      <c r="AH7" t="str">
        <f t="shared" ca="1" si="0"/>
        <v>{"name":"TFT5_Kalista",disname:U2000432_TFT5_Kalista_1","type":5,"block":3,"hp":900}</v>
      </c>
      <c r="AI7" t="str">
        <f t="shared" ca="1" si="0"/>
        <v>{"name":"TFT5_Galio",disname:U2000432_TFT5_Kalista_1","type":5,"block":3,"hp":1000}</v>
      </c>
      <c r="AJ7" t="str">
        <f t="shared" ca="1" si="0"/>
        <v>{"name":"TFT5_Fiddlesticks",disname:U2000432_TFT5_Kalista_1","type":5,"block":3,"hp":800}</v>
      </c>
      <c r="AK7" t="str">
        <f t="shared" ca="1" si="0"/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C57C1-4CD1-413C-906D-48649D9DC35D}">
  <sheetPr codeName="Sheet2"/>
  <dimension ref="A1:A71"/>
  <sheetViews>
    <sheetView topLeftCell="A40" workbookViewId="0">
      <selection activeCell="B25" sqref="B25"/>
    </sheetView>
  </sheetViews>
  <sheetFormatPr defaultRowHeight="14.5" x14ac:dyDescent="0.35"/>
  <sheetData>
    <row r="1" spans="1:1" x14ac:dyDescent="0.35">
      <c r="A1" t="s">
        <v>2</v>
      </c>
    </row>
    <row r="2" spans="1:1" x14ac:dyDescent="0.35">
      <c r="A2" t="s">
        <v>3</v>
      </c>
    </row>
    <row r="3" spans="1:1" x14ac:dyDescent="0.35">
      <c r="A3" t="s">
        <v>1</v>
      </c>
    </row>
    <row r="5" spans="1:1" x14ac:dyDescent="0.35">
      <c r="A5" t="s">
        <v>2</v>
      </c>
    </row>
    <row r="6" spans="1:1" x14ac:dyDescent="0.35">
      <c r="A6" t="s">
        <v>0</v>
      </c>
    </row>
    <row r="7" spans="1:1" x14ac:dyDescent="0.35">
      <c r="A7" t="s">
        <v>1</v>
      </c>
    </row>
    <row r="9" spans="1:1" x14ac:dyDescent="0.35">
      <c r="A9" t="s">
        <v>4</v>
      </c>
    </row>
    <row r="10" spans="1:1" x14ac:dyDescent="0.35">
      <c r="A10" t="s">
        <v>5</v>
      </c>
    </row>
    <row r="11" spans="1:1" x14ac:dyDescent="0.35">
      <c r="A11" t="s">
        <v>1</v>
      </c>
    </row>
    <row r="13" spans="1:1" x14ac:dyDescent="0.35">
      <c r="A13" t="s">
        <v>4</v>
      </c>
    </row>
    <row r="14" spans="1:1" x14ac:dyDescent="0.35">
      <c r="A14" t="s">
        <v>0</v>
      </c>
    </row>
    <row r="15" spans="1:1" x14ac:dyDescent="0.35">
      <c r="A15" t="s">
        <v>1</v>
      </c>
    </row>
    <row r="17" spans="1:1" x14ac:dyDescent="0.35">
      <c r="A17" t="s">
        <v>4</v>
      </c>
    </row>
    <row r="18" spans="1:1" x14ac:dyDescent="0.35">
      <c r="A18" t="s">
        <v>6</v>
      </c>
    </row>
    <row r="19" spans="1:1" x14ac:dyDescent="0.35">
      <c r="A19" t="s">
        <v>1</v>
      </c>
    </row>
    <row r="21" spans="1:1" x14ac:dyDescent="0.35">
      <c r="A21" t="s">
        <v>4</v>
      </c>
    </row>
    <row r="22" spans="1:1" x14ac:dyDescent="0.35">
      <c r="A22" t="s">
        <v>6</v>
      </c>
    </row>
    <row r="23" spans="1:1" x14ac:dyDescent="0.35">
      <c r="A23" t="s">
        <v>1</v>
      </c>
    </row>
    <row r="25" spans="1:1" x14ac:dyDescent="0.35">
      <c r="A25" t="s">
        <v>7</v>
      </c>
    </row>
    <row r="26" spans="1:1" x14ac:dyDescent="0.35">
      <c r="A26" t="s">
        <v>8</v>
      </c>
    </row>
    <row r="27" spans="1:1" x14ac:dyDescent="0.35">
      <c r="A27" t="s">
        <v>1</v>
      </c>
    </row>
    <row r="29" spans="1:1" x14ac:dyDescent="0.35">
      <c r="A29" t="s">
        <v>9</v>
      </c>
    </row>
    <row r="30" spans="1:1" x14ac:dyDescent="0.35">
      <c r="A30" t="s">
        <v>8</v>
      </c>
    </row>
    <row r="31" spans="1:1" x14ac:dyDescent="0.35">
      <c r="A31" t="s">
        <v>1</v>
      </c>
    </row>
    <row r="33" spans="1:1" x14ac:dyDescent="0.35">
      <c r="A33" t="s">
        <v>9</v>
      </c>
    </row>
    <row r="34" spans="1:1" x14ac:dyDescent="0.35">
      <c r="A34" t="s">
        <v>0</v>
      </c>
    </row>
    <row r="35" spans="1:1" x14ac:dyDescent="0.35">
      <c r="A35" t="s">
        <v>1</v>
      </c>
    </row>
    <row r="37" spans="1:1" x14ac:dyDescent="0.35">
      <c r="A37" t="s">
        <v>9</v>
      </c>
    </row>
    <row r="38" spans="1:1" x14ac:dyDescent="0.35">
      <c r="A38" t="s">
        <v>10</v>
      </c>
    </row>
    <row r="39" spans="1:1" x14ac:dyDescent="0.35">
      <c r="A39" t="s">
        <v>1</v>
      </c>
    </row>
    <row r="41" spans="1:1" x14ac:dyDescent="0.35">
      <c r="A41" t="s">
        <v>9</v>
      </c>
    </row>
    <row r="42" spans="1:1" x14ac:dyDescent="0.35">
      <c r="A42" t="s">
        <v>11</v>
      </c>
    </row>
    <row r="43" spans="1:1" x14ac:dyDescent="0.35">
      <c r="A43" t="s">
        <v>1</v>
      </c>
    </row>
    <row r="45" spans="1:1" x14ac:dyDescent="0.35">
      <c r="A45" t="s">
        <v>9</v>
      </c>
    </row>
    <row r="46" spans="1:1" x14ac:dyDescent="0.35">
      <c r="A46" t="s">
        <v>11</v>
      </c>
    </row>
    <row r="47" spans="1:1" x14ac:dyDescent="0.35">
      <c r="A47" t="s">
        <v>1</v>
      </c>
    </row>
    <row r="49" spans="1:1" x14ac:dyDescent="0.35">
      <c r="A49" t="s">
        <v>12</v>
      </c>
    </row>
    <row r="50" spans="1:1" x14ac:dyDescent="0.35">
      <c r="A50" t="s">
        <v>13</v>
      </c>
    </row>
    <row r="51" spans="1:1" x14ac:dyDescent="0.35">
      <c r="A51" t="s">
        <v>1</v>
      </c>
    </row>
    <row r="53" spans="1:1" x14ac:dyDescent="0.35">
      <c r="A53" t="s">
        <v>14</v>
      </c>
    </row>
    <row r="54" spans="1:1" x14ac:dyDescent="0.35">
      <c r="A54" t="s">
        <v>15</v>
      </c>
    </row>
    <row r="55" spans="1:1" x14ac:dyDescent="0.35">
      <c r="A55" t="s">
        <v>1</v>
      </c>
    </row>
    <row r="57" spans="1:1" x14ac:dyDescent="0.35">
      <c r="A57" t="s">
        <v>14</v>
      </c>
    </row>
    <row r="58" spans="1:1" x14ac:dyDescent="0.35">
      <c r="A58" t="s">
        <v>16</v>
      </c>
    </row>
    <row r="59" spans="1:1" x14ac:dyDescent="0.35">
      <c r="A59" t="s">
        <v>1</v>
      </c>
    </row>
    <row r="61" spans="1:1" x14ac:dyDescent="0.35">
      <c r="A61" t="s">
        <v>14</v>
      </c>
    </row>
    <row r="62" spans="1:1" x14ac:dyDescent="0.35">
      <c r="A62" t="s">
        <v>17</v>
      </c>
    </row>
    <row r="63" spans="1:1" x14ac:dyDescent="0.35">
      <c r="A63" t="s">
        <v>1</v>
      </c>
    </row>
    <row r="65" spans="1:1" x14ac:dyDescent="0.35">
      <c r="A65" t="s">
        <v>18</v>
      </c>
    </row>
    <row r="66" spans="1:1" x14ac:dyDescent="0.35">
      <c r="A66" t="s">
        <v>19</v>
      </c>
    </row>
    <row r="67" spans="1:1" x14ac:dyDescent="0.35">
      <c r="A67" t="s">
        <v>1</v>
      </c>
    </row>
    <row r="69" spans="1:1" x14ac:dyDescent="0.35">
      <c r="A69" t="s">
        <v>18</v>
      </c>
    </row>
    <row r="70" spans="1:1" x14ac:dyDescent="0.35">
      <c r="A70" t="s">
        <v>19</v>
      </c>
    </row>
    <row r="71" spans="1:1" x14ac:dyDescent="0.35">
      <c r="A71" t="s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E676E-94D4-4269-8A62-9D2601860FD4}">
  <sheetPr codeName="Sheet3"/>
  <dimension ref="C6"/>
  <sheetViews>
    <sheetView workbookViewId="0">
      <selection activeCell="B25" sqref="B25"/>
    </sheetView>
  </sheetViews>
  <sheetFormatPr defaultRowHeight="14.5" x14ac:dyDescent="0.35"/>
  <cols>
    <col min="3" max="3" width="64.54296875" bestFit="1" customWidth="1"/>
  </cols>
  <sheetData>
    <row r="6" spans="3:3" ht="409.5" x14ac:dyDescent="0.35">
      <c r="C6" s="1" t="s">
        <v>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AECF2-87E6-4030-9B46-BEB22A4BD5FE}">
  <sheetPr codeName="Sheet7"/>
  <dimension ref="A1:H31"/>
  <sheetViews>
    <sheetView workbookViewId="0">
      <selection activeCell="B25" sqref="B25"/>
    </sheetView>
  </sheetViews>
  <sheetFormatPr defaultRowHeight="14.5" x14ac:dyDescent="0.35"/>
  <sheetData>
    <row r="1" spans="1:8" x14ac:dyDescent="0.35">
      <c r="A1" t="s">
        <v>84</v>
      </c>
    </row>
    <row r="2" spans="1:8" x14ac:dyDescent="0.35">
      <c r="A2" t="s">
        <v>85</v>
      </c>
    </row>
    <row r="3" spans="1:8" x14ac:dyDescent="0.35">
      <c r="A3" t="s">
        <v>1</v>
      </c>
    </row>
    <row r="5" spans="1:8" x14ac:dyDescent="0.35">
      <c r="A5" t="s">
        <v>86</v>
      </c>
    </row>
    <row r="6" spans="1:8" x14ac:dyDescent="0.35">
      <c r="A6" t="s">
        <v>87</v>
      </c>
    </row>
    <row r="7" spans="1:8" x14ac:dyDescent="0.35">
      <c r="A7" t="s">
        <v>1</v>
      </c>
      <c r="H7" s="4">
        <v>44233</v>
      </c>
    </row>
    <row r="9" spans="1:8" x14ac:dyDescent="0.35">
      <c r="A9" t="s">
        <v>88</v>
      </c>
    </row>
    <row r="10" spans="1:8" x14ac:dyDescent="0.35">
      <c r="A10" t="s">
        <v>89</v>
      </c>
    </row>
    <row r="11" spans="1:8" x14ac:dyDescent="0.35">
      <c r="A11" t="s">
        <v>1</v>
      </c>
      <c r="H11" s="4">
        <v>44259</v>
      </c>
    </row>
    <row r="13" spans="1:8" x14ac:dyDescent="0.35">
      <c r="A13" t="s">
        <v>90</v>
      </c>
    </row>
    <row r="14" spans="1:8" x14ac:dyDescent="0.35">
      <c r="A14" t="s">
        <v>91</v>
      </c>
    </row>
    <row r="15" spans="1:8" x14ac:dyDescent="0.35">
      <c r="A15" t="s">
        <v>1</v>
      </c>
      <c r="H15" s="4">
        <v>44262</v>
      </c>
    </row>
    <row r="17" spans="1:8" x14ac:dyDescent="0.35">
      <c r="A17" t="s">
        <v>92</v>
      </c>
    </row>
    <row r="18" spans="1:8" x14ac:dyDescent="0.35">
      <c r="A18" t="s">
        <v>93</v>
      </c>
    </row>
    <row r="19" spans="1:8" x14ac:dyDescent="0.35">
      <c r="A19" t="s">
        <v>1</v>
      </c>
      <c r="H19" s="4">
        <v>44288</v>
      </c>
    </row>
    <row r="21" spans="1:8" x14ac:dyDescent="0.35">
      <c r="A21" t="s">
        <v>94</v>
      </c>
    </row>
    <row r="22" spans="1:8" x14ac:dyDescent="0.35">
      <c r="A22" t="s">
        <v>95</v>
      </c>
    </row>
    <row r="23" spans="1:8" x14ac:dyDescent="0.35">
      <c r="A23" t="s">
        <v>1</v>
      </c>
      <c r="H23" s="4">
        <v>44291</v>
      </c>
    </row>
    <row r="25" spans="1:8" x14ac:dyDescent="0.35">
      <c r="A25" t="s">
        <v>96</v>
      </c>
    </row>
    <row r="26" spans="1:8" x14ac:dyDescent="0.35">
      <c r="A26" t="s">
        <v>97</v>
      </c>
    </row>
    <row r="27" spans="1:8" x14ac:dyDescent="0.35">
      <c r="A27" t="s">
        <v>1</v>
      </c>
      <c r="H27" s="4">
        <v>44317</v>
      </c>
    </row>
    <row r="29" spans="1:8" x14ac:dyDescent="0.35">
      <c r="A29" t="s">
        <v>98</v>
      </c>
    </row>
    <row r="30" spans="1:8" x14ac:dyDescent="0.35">
      <c r="A30" t="s">
        <v>99</v>
      </c>
    </row>
    <row r="31" spans="1:8" x14ac:dyDescent="0.35">
      <c r="A31" t="s">
        <v>1</v>
      </c>
      <c r="H31" s="4">
        <v>44321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1.import10088sample">
                <anchor moveWithCells="1" sizeWithCells="1">
                  <from>
                    <xdr:col>5</xdr:col>
                    <xdr:colOff>215900</xdr:colOff>
                    <xdr:row>31</xdr:row>
                    <xdr:rowOff>31750</xdr:rowOff>
                  </from>
                  <to>
                    <xdr:col>8</xdr:col>
                    <xdr:colOff>254000</xdr:colOff>
                    <xdr:row>36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27AC1-30A3-4268-B92D-7F3ECCF7F81F}">
  <sheetPr codeName="Sheet9"/>
  <dimension ref="A1:B749"/>
  <sheetViews>
    <sheetView topLeftCell="A442" workbookViewId="0">
      <selection activeCell="B25" sqref="B25"/>
    </sheetView>
  </sheetViews>
  <sheetFormatPr defaultRowHeight="14.5" x14ac:dyDescent="0.35"/>
  <sheetData>
    <row r="1" spans="1:1" x14ac:dyDescent="0.35">
      <c r="A1" t="s">
        <v>130</v>
      </c>
    </row>
    <row r="3" spans="1:1" x14ac:dyDescent="0.35">
      <c r="A3" t="s">
        <v>137</v>
      </c>
    </row>
    <row r="4" spans="1:1" x14ac:dyDescent="0.35">
      <c r="A4" t="s">
        <v>135</v>
      </c>
    </row>
    <row r="5" spans="1:1" x14ac:dyDescent="0.35">
      <c r="A5">
        <v>1450</v>
      </c>
    </row>
    <row r="7" spans="1:1" x14ac:dyDescent="0.35">
      <c r="A7" t="s">
        <v>140</v>
      </c>
    </row>
    <row r="8" spans="1:1" x14ac:dyDescent="0.35">
      <c r="A8" t="s">
        <v>138</v>
      </c>
    </row>
    <row r="9" spans="1:1" x14ac:dyDescent="0.35">
      <c r="A9">
        <v>100</v>
      </c>
    </row>
    <row r="11" spans="1:1" x14ac:dyDescent="0.35">
      <c r="A11" t="s">
        <v>140</v>
      </c>
    </row>
    <row r="12" spans="1:1" x14ac:dyDescent="0.35">
      <c r="A12" t="s">
        <v>139</v>
      </c>
    </row>
    <row r="13" spans="1:1" x14ac:dyDescent="0.35">
      <c r="A13">
        <v>100</v>
      </c>
    </row>
    <row r="15" spans="1:1" x14ac:dyDescent="0.35">
      <c r="A15" t="s">
        <v>140</v>
      </c>
    </row>
    <row r="16" spans="1:1" x14ac:dyDescent="0.35">
      <c r="A16" t="s">
        <v>139</v>
      </c>
    </row>
    <row r="17" spans="1:1" x14ac:dyDescent="0.35">
      <c r="A17">
        <v>100</v>
      </c>
    </row>
    <row r="19" spans="1:1" x14ac:dyDescent="0.35">
      <c r="A19" t="s">
        <v>140</v>
      </c>
    </row>
    <row r="20" spans="1:1" x14ac:dyDescent="0.35">
      <c r="A20" t="s">
        <v>139</v>
      </c>
    </row>
    <row r="21" spans="1:1" x14ac:dyDescent="0.35">
      <c r="A21">
        <v>100</v>
      </c>
    </row>
    <row r="23" spans="1:1" x14ac:dyDescent="0.35">
      <c r="A23" t="s">
        <v>140</v>
      </c>
    </row>
    <row r="24" spans="1:1" x14ac:dyDescent="0.35">
      <c r="A24" t="s">
        <v>139</v>
      </c>
    </row>
    <row r="25" spans="1:1" x14ac:dyDescent="0.35">
      <c r="A25">
        <v>100</v>
      </c>
    </row>
    <row r="27" spans="1:1" x14ac:dyDescent="0.35">
      <c r="A27" t="s">
        <v>140</v>
      </c>
    </row>
    <row r="28" spans="1:1" x14ac:dyDescent="0.35">
      <c r="A28" t="s">
        <v>139</v>
      </c>
    </row>
    <row r="29" spans="1:1" x14ac:dyDescent="0.35">
      <c r="A29">
        <v>100</v>
      </c>
    </row>
    <row r="31" spans="1:1" x14ac:dyDescent="0.35">
      <c r="A31" t="s">
        <v>140</v>
      </c>
    </row>
    <row r="32" spans="1:1" x14ac:dyDescent="0.35">
      <c r="A32" t="s">
        <v>141</v>
      </c>
    </row>
    <row r="33" spans="1:2" x14ac:dyDescent="0.35">
      <c r="A33" s="2">
        <v>1300</v>
      </c>
      <c r="B33" s="2"/>
    </row>
    <row r="34" spans="1:2" x14ac:dyDescent="0.35">
      <c r="A34" s="2"/>
      <c r="B34" s="2"/>
    </row>
    <row r="35" spans="1:2" x14ac:dyDescent="0.35">
      <c r="A35" s="2" t="s">
        <v>140</v>
      </c>
      <c r="B35" s="2"/>
    </row>
    <row r="36" spans="1:2" x14ac:dyDescent="0.35">
      <c r="A36" s="2" t="s">
        <v>133</v>
      </c>
      <c r="B36" s="2"/>
    </row>
    <row r="37" spans="1:2" x14ac:dyDescent="0.35">
      <c r="A37" s="2">
        <v>1150</v>
      </c>
      <c r="B37" s="2"/>
    </row>
    <row r="38" spans="1:2" x14ac:dyDescent="0.35">
      <c r="A38" s="2"/>
      <c r="B38" s="2"/>
    </row>
    <row r="39" spans="1:2" x14ac:dyDescent="0.35">
      <c r="A39" s="2" t="s">
        <v>140</v>
      </c>
      <c r="B39" s="2"/>
    </row>
    <row r="40" spans="1:2" x14ac:dyDescent="0.35">
      <c r="A40" s="2" t="s">
        <v>134</v>
      </c>
      <c r="B40" s="2"/>
    </row>
    <row r="41" spans="1:2" x14ac:dyDescent="0.35">
      <c r="A41" s="2">
        <v>1150</v>
      </c>
      <c r="B41" s="2"/>
    </row>
    <row r="42" spans="1:2" x14ac:dyDescent="0.35">
      <c r="B42" s="2"/>
    </row>
    <row r="43" spans="1:2" x14ac:dyDescent="0.35">
      <c r="A43" t="s">
        <v>140</v>
      </c>
    </row>
    <row r="44" spans="1:2" x14ac:dyDescent="0.35">
      <c r="A44" t="s">
        <v>135</v>
      </c>
    </row>
    <row r="45" spans="1:2" x14ac:dyDescent="0.35">
      <c r="A45">
        <v>1450</v>
      </c>
    </row>
    <row r="47" spans="1:2" x14ac:dyDescent="0.35">
      <c r="A47" t="s">
        <v>142</v>
      </c>
    </row>
    <row r="48" spans="1:2" x14ac:dyDescent="0.35">
      <c r="A48" t="s">
        <v>141</v>
      </c>
    </row>
    <row r="49" spans="1:1" x14ac:dyDescent="0.35">
      <c r="A49">
        <v>1300</v>
      </c>
    </row>
    <row r="51" spans="1:1" x14ac:dyDescent="0.35">
      <c r="A51" t="s">
        <v>142</v>
      </c>
    </row>
    <row r="52" spans="1:1" x14ac:dyDescent="0.35">
      <c r="A52" t="s">
        <v>133</v>
      </c>
    </row>
    <row r="53" spans="1:1" x14ac:dyDescent="0.35">
      <c r="A53">
        <v>1150</v>
      </c>
    </row>
    <row r="55" spans="1:1" x14ac:dyDescent="0.35">
      <c r="A55" t="s">
        <v>142</v>
      </c>
    </row>
    <row r="56" spans="1:1" x14ac:dyDescent="0.35">
      <c r="A56" t="s">
        <v>134</v>
      </c>
    </row>
    <row r="57" spans="1:1" x14ac:dyDescent="0.35">
      <c r="A57">
        <v>1150</v>
      </c>
    </row>
    <row r="59" spans="1:1" x14ac:dyDescent="0.35">
      <c r="A59" t="s">
        <v>142</v>
      </c>
    </row>
    <row r="60" spans="1:1" x14ac:dyDescent="0.35">
      <c r="A60" t="s">
        <v>135</v>
      </c>
    </row>
    <row r="61" spans="1:1" x14ac:dyDescent="0.35">
      <c r="A61">
        <v>1450</v>
      </c>
    </row>
    <row r="63" spans="1:1" x14ac:dyDescent="0.35">
      <c r="A63" t="s">
        <v>142</v>
      </c>
    </row>
    <row r="64" spans="1:1" x14ac:dyDescent="0.35">
      <c r="A64" t="s">
        <v>141</v>
      </c>
    </row>
    <row r="65" spans="1:1" x14ac:dyDescent="0.35">
      <c r="A65">
        <v>1300</v>
      </c>
    </row>
    <row r="67" spans="1:1" x14ac:dyDescent="0.35">
      <c r="A67" t="s">
        <v>142</v>
      </c>
    </row>
    <row r="68" spans="1:1" x14ac:dyDescent="0.35">
      <c r="A68" t="s">
        <v>133</v>
      </c>
    </row>
    <row r="69" spans="1:1" x14ac:dyDescent="0.35">
      <c r="A69">
        <v>1150</v>
      </c>
    </row>
    <row r="71" spans="1:1" x14ac:dyDescent="0.35">
      <c r="A71" t="s">
        <v>142</v>
      </c>
    </row>
    <row r="72" spans="1:1" x14ac:dyDescent="0.35">
      <c r="A72" t="s">
        <v>134</v>
      </c>
    </row>
    <row r="73" spans="1:1" x14ac:dyDescent="0.35">
      <c r="A73">
        <v>1150</v>
      </c>
    </row>
    <row r="75" spans="1:1" x14ac:dyDescent="0.35">
      <c r="A75" t="s">
        <v>142</v>
      </c>
    </row>
    <row r="76" spans="1:1" x14ac:dyDescent="0.35">
      <c r="A76" t="s">
        <v>135</v>
      </c>
    </row>
    <row r="77" spans="1:1" x14ac:dyDescent="0.35">
      <c r="A77">
        <v>1450</v>
      </c>
    </row>
    <row r="79" spans="1:1" x14ac:dyDescent="0.35">
      <c r="A79" t="s">
        <v>143</v>
      </c>
    </row>
    <row r="80" spans="1:1" x14ac:dyDescent="0.35">
      <c r="A80" t="s">
        <v>144</v>
      </c>
    </row>
    <row r="81" spans="1:1" x14ac:dyDescent="0.35">
      <c r="A81">
        <v>1150</v>
      </c>
    </row>
    <row r="83" spans="1:1" x14ac:dyDescent="0.35">
      <c r="A83" t="s">
        <v>143</v>
      </c>
    </row>
    <row r="84" spans="1:1" x14ac:dyDescent="0.35">
      <c r="A84" t="s">
        <v>141</v>
      </c>
    </row>
    <row r="85" spans="1:1" x14ac:dyDescent="0.35">
      <c r="A85">
        <v>1300</v>
      </c>
    </row>
    <row r="87" spans="1:1" x14ac:dyDescent="0.35">
      <c r="A87" t="s">
        <v>143</v>
      </c>
    </row>
    <row r="88" spans="1:1" x14ac:dyDescent="0.35">
      <c r="A88" t="s">
        <v>133</v>
      </c>
    </row>
    <row r="89" spans="1:1" x14ac:dyDescent="0.35">
      <c r="A89">
        <v>1150</v>
      </c>
    </row>
    <row r="91" spans="1:1" x14ac:dyDescent="0.35">
      <c r="A91" t="s">
        <v>143</v>
      </c>
    </row>
    <row r="92" spans="1:1" x14ac:dyDescent="0.35">
      <c r="A92" t="s">
        <v>134</v>
      </c>
    </row>
    <row r="93" spans="1:1" x14ac:dyDescent="0.35">
      <c r="A93">
        <v>1150</v>
      </c>
    </row>
    <row r="95" spans="1:1" x14ac:dyDescent="0.35">
      <c r="A95" t="s">
        <v>143</v>
      </c>
    </row>
    <row r="96" spans="1:1" x14ac:dyDescent="0.35">
      <c r="A96" t="s">
        <v>135</v>
      </c>
    </row>
    <row r="97" spans="1:2" x14ac:dyDescent="0.35">
      <c r="A97">
        <v>1450</v>
      </c>
    </row>
    <row r="99" spans="1:2" x14ac:dyDescent="0.35">
      <c r="A99" t="s">
        <v>145</v>
      </c>
    </row>
    <row r="100" spans="1:2" x14ac:dyDescent="0.35">
      <c r="A100" t="s">
        <v>141</v>
      </c>
    </row>
    <row r="101" spans="1:2" x14ac:dyDescent="0.35">
      <c r="A101">
        <v>1300</v>
      </c>
    </row>
    <row r="103" spans="1:2" x14ac:dyDescent="0.35">
      <c r="A103" t="s">
        <v>145</v>
      </c>
    </row>
    <row r="104" spans="1:2" x14ac:dyDescent="0.35">
      <c r="A104" t="s">
        <v>133</v>
      </c>
    </row>
    <row r="105" spans="1:2" x14ac:dyDescent="0.35">
      <c r="A105">
        <v>1150</v>
      </c>
    </row>
    <row r="107" spans="1:2" x14ac:dyDescent="0.35">
      <c r="A107" t="s">
        <v>145</v>
      </c>
    </row>
    <row r="108" spans="1:2" x14ac:dyDescent="0.35">
      <c r="A108" t="s">
        <v>134</v>
      </c>
    </row>
    <row r="109" spans="1:2" x14ac:dyDescent="0.35">
      <c r="A109">
        <v>1150</v>
      </c>
    </row>
    <row r="111" spans="1:2" x14ac:dyDescent="0.35">
      <c r="A111" t="s">
        <v>145</v>
      </c>
      <c r="B111" t="str">
        <f>MID(A111,FIND(A112,A111)-20,8)</f>
        <v>5_Nunu_1</v>
      </c>
    </row>
    <row r="112" spans="1:2" x14ac:dyDescent="0.35">
      <c r="A112" t="s">
        <v>135</v>
      </c>
    </row>
    <row r="113" spans="1:2" x14ac:dyDescent="0.35">
      <c r="A113">
        <v>1450</v>
      </c>
    </row>
    <row r="115" spans="1:2" x14ac:dyDescent="0.35">
      <c r="A115" t="s">
        <v>146</v>
      </c>
      <c r="B115" t="str">
        <f>MID(A115,FIND(A116,A115)-20,8)</f>
        <v>Gragas_1</v>
      </c>
    </row>
    <row r="116" spans="1:2" x14ac:dyDescent="0.35">
      <c r="A116" t="s">
        <v>141</v>
      </c>
    </row>
    <row r="117" spans="1:2" x14ac:dyDescent="0.35">
      <c r="A117">
        <v>1300</v>
      </c>
    </row>
    <row r="119" spans="1:2" x14ac:dyDescent="0.35">
      <c r="A119" t="s">
        <v>146</v>
      </c>
      <c r="B119" t="str">
        <f>MID(A119,FIND(A120,A119)-20,8)</f>
        <v>Sejuani_</v>
      </c>
    </row>
    <row r="120" spans="1:2" x14ac:dyDescent="0.35">
      <c r="A120" t="s">
        <v>133</v>
      </c>
    </row>
    <row r="121" spans="1:2" x14ac:dyDescent="0.35">
      <c r="A121">
        <v>1150</v>
      </c>
    </row>
    <row r="123" spans="1:2" x14ac:dyDescent="0.35">
      <c r="A123" t="s">
        <v>146</v>
      </c>
      <c r="B123" t="str">
        <f>MID(A123,FIND(A124,A123)-20,8)</f>
        <v>_Gragas_</v>
      </c>
    </row>
    <row r="124" spans="1:2" x14ac:dyDescent="0.35">
      <c r="A124" t="s">
        <v>134</v>
      </c>
    </row>
    <row r="125" spans="1:2" x14ac:dyDescent="0.35">
      <c r="A125">
        <v>1150</v>
      </c>
    </row>
    <row r="127" spans="1:2" x14ac:dyDescent="0.35">
      <c r="A127" t="s">
        <v>146</v>
      </c>
    </row>
    <row r="128" spans="1:2" x14ac:dyDescent="0.35">
      <c r="A128" t="s">
        <v>135</v>
      </c>
    </row>
    <row r="129" spans="1:2" x14ac:dyDescent="0.35">
      <c r="A129">
        <v>1450</v>
      </c>
    </row>
    <row r="131" spans="1:2" x14ac:dyDescent="0.35">
      <c r="A131" t="s">
        <v>147</v>
      </c>
    </row>
    <row r="132" spans="1:2" x14ac:dyDescent="0.35">
      <c r="A132" t="s">
        <v>141</v>
      </c>
    </row>
    <row r="133" spans="1:2" x14ac:dyDescent="0.35">
      <c r="A133">
        <v>1300</v>
      </c>
    </row>
    <row r="135" spans="1:2" x14ac:dyDescent="0.35">
      <c r="A135" t="s">
        <v>147</v>
      </c>
    </row>
    <row r="136" spans="1:2" x14ac:dyDescent="0.35">
      <c r="A136" t="s">
        <v>133</v>
      </c>
    </row>
    <row r="137" spans="1:2" x14ac:dyDescent="0.35">
      <c r="A137">
        <v>1150</v>
      </c>
    </row>
    <row r="139" spans="1:2" x14ac:dyDescent="0.35">
      <c r="A139" t="s">
        <v>147</v>
      </c>
    </row>
    <row r="140" spans="1:2" x14ac:dyDescent="0.35">
      <c r="A140" t="s">
        <v>134</v>
      </c>
    </row>
    <row r="141" spans="1:2" x14ac:dyDescent="0.35">
      <c r="A141">
        <v>1150</v>
      </c>
    </row>
    <row r="143" spans="1:2" x14ac:dyDescent="0.35">
      <c r="A143" t="s">
        <v>147</v>
      </c>
      <c r="B143" t="str">
        <f>MID(A143,FIND(A144,A143)-20,8)</f>
        <v>5_Nunu_1</v>
      </c>
    </row>
    <row r="144" spans="1:2" x14ac:dyDescent="0.35">
      <c r="A144" t="s">
        <v>135</v>
      </c>
    </row>
    <row r="145" spans="1:2" x14ac:dyDescent="0.35">
      <c r="A145">
        <v>1450</v>
      </c>
    </row>
    <row r="147" spans="1:2" x14ac:dyDescent="0.35">
      <c r="A147" t="s">
        <v>148</v>
      </c>
      <c r="B147" t="str">
        <f>MID(A147,FIND(A148,A147)-20,8)</f>
        <v>Gragas_1</v>
      </c>
    </row>
    <row r="148" spans="1:2" x14ac:dyDescent="0.35">
      <c r="A148" t="s">
        <v>141</v>
      </c>
    </row>
    <row r="149" spans="1:2" x14ac:dyDescent="0.35">
      <c r="A149">
        <v>1300</v>
      </c>
    </row>
    <row r="151" spans="1:2" x14ac:dyDescent="0.35">
      <c r="A151" t="s">
        <v>148</v>
      </c>
      <c r="B151" t="str">
        <f>MID(A151,FIND(A152,A151)-20,8)</f>
        <v>ejuani_1</v>
      </c>
    </row>
    <row r="152" spans="1:2" x14ac:dyDescent="0.35">
      <c r="A152" t="s">
        <v>133</v>
      </c>
    </row>
    <row r="153" spans="1:2" x14ac:dyDescent="0.35">
      <c r="A153">
        <v>1150</v>
      </c>
    </row>
    <row r="155" spans="1:2" x14ac:dyDescent="0.35">
      <c r="A155" t="s">
        <v>148</v>
      </c>
      <c r="B155" t="str">
        <f>MID(A155,FIND(A156,A155)-20,8)</f>
        <v>Gragas_1</v>
      </c>
    </row>
    <row r="156" spans="1:2" x14ac:dyDescent="0.35">
      <c r="A156" t="s">
        <v>134</v>
      </c>
    </row>
    <row r="157" spans="1:2" x14ac:dyDescent="0.35">
      <c r="A157">
        <v>1150</v>
      </c>
    </row>
    <row r="159" spans="1:2" x14ac:dyDescent="0.35">
      <c r="A159" t="s">
        <v>148</v>
      </c>
      <c r="B159" t="str">
        <f>MID(A159,FIND(A160,A159)-20,8)</f>
        <v>5_Nunu_1</v>
      </c>
    </row>
    <row r="160" spans="1:2" x14ac:dyDescent="0.35">
      <c r="A160" t="s">
        <v>135</v>
      </c>
    </row>
    <row r="161" spans="1:1" x14ac:dyDescent="0.35">
      <c r="A161">
        <v>1450</v>
      </c>
    </row>
    <row r="163" spans="1:1" x14ac:dyDescent="0.35">
      <c r="A163" t="s">
        <v>148</v>
      </c>
    </row>
    <row r="164" spans="1:1" x14ac:dyDescent="0.35">
      <c r="A164" t="s">
        <v>139</v>
      </c>
    </row>
    <row r="165" spans="1:1" x14ac:dyDescent="0.35">
      <c r="A165">
        <v>100</v>
      </c>
    </row>
    <row r="167" spans="1:1" x14ac:dyDescent="0.35">
      <c r="A167" t="s">
        <v>148</v>
      </c>
    </row>
    <row r="168" spans="1:1" x14ac:dyDescent="0.35">
      <c r="A168" t="s">
        <v>139</v>
      </c>
    </row>
    <row r="169" spans="1:1" x14ac:dyDescent="0.35">
      <c r="A169">
        <v>100</v>
      </c>
    </row>
    <row r="171" spans="1:1" x14ac:dyDescent="0.35">
      <c r="A171" t="s">
        <v>148</v>
      </c>
    </row>
    <row r="172" spans="1:1" x14ac:dyDescent="0.35">
      <c r="A172" t="s">
        <v>139</v>
      </c>
    </row>
    <row r="173" spans="1:1" x14ac:dyDescent="0.35">
      <c r="A173">
        <v>100</v>
      </c>
    </row>
    <row r="175" spans="1:1" x14ac:dyDescent="0.35">
      <c r="A175" t="s">
        <v>148</v>
      </c>
    </row>
    <row r="176" spans="1:1" x14ac:dyDescent="0.35">
      <c r="A176" t="s">
        <v>139</v>
      </c>
    </row>
    <row r="177" spans="1:2" x14ac:dyDescent="0.35">
      <c r="A177">
        <v>100</v>
      </c>
    </row>
    <row r="179" spans="1:2" x14ac:dyDescent="0.35">
      <c r="A179" t="s">
        <v>148</v>
      </c>
      <c r="B179" t="str">
        <f>MID(A179,FIND(A180,A179)-20,8)</f>
        <v>"TestCub</v>
      </c>
    </row>
    <row r="180" spans="1:2" x14ac:dyDescent="0.35">
      <c r="A180" t="s">
        <v>139</v>
      </c>
    </row>
    <row r="181" spans="1:2" x14ac:dyDescent="0.35">
      <c r="A181">
        <v>100</v>
      </c>
    </row>
    <row r="183" spans="1:2" x14ac:dyDescent="0.35">
      <c r="A183" t="s">
        <v>148</v>
      </c>
      <c r="B183" t="str">
        <f>MID(A183,FIND(A184,A183)-20,8)</f>
        <v>"TestCub</v>
      </c>
    </row>
    <row r="184" spans="1:2" x14ac:dyDescent="0.35">
      <c r="A184" t="s">
        <v>139</v>
      </c>
    </row>
    <row r="185" spans="1:2" x14ac:dyDescent="0.35">
      <c r="A185">
        <v>100</v>
      </c>
    </row>
    <row r="187" spans="1:2" x14ac:dyDescent="0.35">
      <c r="A187" t="s">
        <v>148</v>
      </c>
    </row>
    <row r="188" spans="1:2" x14ac:dyDescent="0.35">
      <c r="A188" t="s">
        <v>139</v>
      </c>
    </row>
    <row r="189" spans="1:2" x14ac:dyDescent="0.35">
      <c r="A189">
        <v>100</v>
      </c>
    </row>
    <row r="191" spans="1:2" x14ac:dyDescent="0.35">
      <c r="A191" t="s">
        <v>148</v>
      </c>
    </row>
    <row r="192" spans="1:2" x14ac:dyDescent="0.35">
      <c r="A192" t="s">
        <v>139</v>
      </c>
    </row>
    <row r="193" spans="1:2" x14ac:dyDescent="0.35">
      <c r="A193">
        <v>100</v>
      </c>
    </row>
    <row r="195" spans="1:2" x14ac:dyDescent="0.35">
      <c r="A195" t="s">
        <v>148</v>
      </c>
    </row>
    <row r="196" spans="1:2" x14ac:dyDescent="0.35">
      <c r="A196" t="s">
        <v>136</v>
      </c>
    </row>
    <row r="197" spans="1:2" x14ac:dyDescent="0.35">
      <c r="A197">
        <v>100</v>
      </c>
    </row>
    <row r="199" spans="1:2" x14ac:dyDescent="0.35">
      <c r="A199" t="s">
        <v>148</v>
      </c>
    </row>
    <row r="200" spans="1:2" x14ac:dyDescent="0.35">
      <c r="A200" t="s">
        <v>136</v>
      </c>
    </row>
    <row r="201" spans="1:2" x14ac:dyDescent="0.35">
      <c r="A201">
        <v>100</v>
      </c>
    </row>
    <row r="203" spans="1:2" x14ac:dyDescent="0.35">
      <c r="A203" t="s">
        <v>148</v>
      </c>
      <c r="B203" t="str">
        <f>MID(A203,FIND(A204,A203)-20,8)</f>
        <v>"TestCub</v>
      </c>
    </row>
    <row r="204" spans="1:2" x14ac:dyDescent="0.35">
      <c r="A204" t="s">
        <v>139</v>
      </c>
    </row>
    <row r="205" spans="1:2" x14ac:dyDescent="0.35">
      <c r="A205">
        <v>100</v>
      </c>
    </row>
    <row r="207" spans="1:2" x14ac:dyDescent="0.35">
      <c r="A207" t="s">
        <v>148</v>
      </c>
      <c r="B207" t="str">
        <f>MID(A207,FIND(A208,A207)-20,8)</f>
        <v>"TestCub</v>
      </c>
    </row>
    <row r="208" spans="1:2" x14ac:dyDescent="0.35">
      <c r="A208" t="s">
        <v>139</v>
      </c>
    </row>
    <row r="209" spans="1:2" x14ac:dyDescent="0.35">
      <c r="A209">
        <v>100</v>
      </c>
    </row>
    <row r="211" spans="1:2" x14ac:dyDescent="0.35">
      <c r="A211" t="s">
        <v>148</v>
      </c>
      <c r="B211" t="str">
        <f>MID(A211,FIND(A212,A211)-20,8)</f>
        <v>"TestCub</v>
      </c>
    </row>
    <row r="212" spans="1:2" x14ac:dyDescent="0.35">
      <c r="A212" t="s">
        <v>139</v>
      </c>
    </row>
    <row r="213" spans="1:2" x14ac:dyDescent="0.35">
      <c r="A213">
        <v>100</v>
      </c>
    </row>
    <row r="215" spans="1:2" x14ac:dyDescent="0.35">
      <c r="A215" t="s">
        <v>148</v>
      </c>
      <c r="B215" t="str">
        <f>MID(A215,FIND(A216,A215)-20,8)</f>
        <v>Gragas_1</v>
      </c>
    </row>
    <row r="216" spans="1:2" x14ac:dyDescent="0.35">
      <c r="A216" t="s">
        <v>141</v>
      </c>
    </row>
    <row r="217" spans="1:2" x14ac:dyDescent="0.35">
      <c r="A217">
        <v>1300</v>
      </c>
    </row>
    <row r="219" spans="1:2" x14ac:dyDescent="0.35">
      <c r="A219" t="s">
        <v>148</v>
      </c>
      <c r="B219" t="str">
        <f>MID(A219,FIND(A220,A219)-20,8)</f>
        <v>ejuani_1</v>
      </c>
    </row>
    <row r="220" spans="1:2" x14ac:dyDescent="0.35">
      <c r="A220" t="s">
        <v>133</v>
      </c>
    </row>
    <row r="221" spans="1:2" x14ac:dyDescent="0.35">
      <c r="A221">
        <v>1150</v>
      </c>
    </row>
    <row r="223" spans="1:2" x14ac:dyDescent="0.35">
      <c r="A223" t="s">
        <v>148</v>
      </c>
      <c r="B223" t="str">
        <f>MID(A223,FIND(A224,A223)-20,8)</f>
        <v>Gragas_1</v>
      </c>
    </row>
    <row r="224" spans="1:2" x14ac:dyDescent="0.35">
      <c r="A224" t="s">
        <v>134</v>
      </c>
    </row>
    <row r="225" spans="1:2" x14ac:dyDescent="0.35">
      <c r="A225">
        <v>1150</v>
      </c>
    </row>
    <row r="227" spans="1:2" x14ac:dyDescent="0.35">
      <c r="A227" t="s">
        <v>148</v>
      </c>
      <c r="B227" t="str">
        <f>MID(A227,FIND(A228,A227)-20,8)</f>
        <v>5_Nunu_1</v>
      </c>
    </row>
    <row r="228" spans="1:2" x14ac:dyDescent="0.35">
      <c r="A228" t="s">
        <v>135</v>
      </c>
    </row>
    <row r="229" spans="1:2" x14ac:dyDescent="0.35">
      <c r="A229">
        <v>1450</v>
      </c>
    </row>
    <row r="231" spans="1:2" x14ac:dyDescent="0.35">
      <c r="A231" t="s">
        <v>148</v>
      </c>
    </row>
    <row r="232" spans="1:2" x14ac:dyDescent="0.35">
      <c r="A232" t="s">
        <v>139</v>
      </c>
    </row>
    <row r="233" spans="1:2" x14ac:dyDescent="0.35">
      <c r="A233">
        <v>100</v>
      </c>
    </row>
    <row r="235" spans="1:2" x14ac:dyDescent="0.35">
      <c r="A235" t="s">
        <v>148</v>
      </c>
      <c r="B235" t="str">
        <f>MID(A235,FIND(A236,A235)-20,8)</f>
        <v>"TestCub</v>
      </c>
    </row>
    <row r="236" spans="1:2" x14ac:dyDescent="0.35">
      <c r="A236" t="s">
        <v>139</v>
      </c>
    </row>
    <row r="237" spans="1:2" x14ac:dyDescent="0.35">
      <c r="A237">
        <v>100</v>
      </c>
    </row>
    <row r="239" spans="1:2" x14ac:dyDescent="0.35">
      <c r="A239" t="s">
        <v>148</v>
      </c>
      <c r="B239" t="str">
        <f>MID(A239,FIND(A240,A239)-20,8)</f>
        <v>"TestCub</v>
      </c>
    </row>
    <row r="240" spans="1:2" x14ac:dyDescent="0.35">
      <c r="A240" t="s">
        <v>139</v>
      </c>
    </row>
    <row r="241" spans="1:2" x14ac:dyDescent="0.35">
      <c r="A241">
        <v>100</v>
      </c>
    </row>
    <row r="243" spans="1:2" x14ac:dyDescent="0.35">
      <c r="A243" t="s">
        <v>148</v>
      </c>
    </row>
    <row r="244" spans="1:2" x14ac:dyDescent="0.35">
      <c r="A244" t="s">
        <v>139</v>
      </c>
    </row>
    <row r="245" spans="1:2" x14ac:dyDescent="0.35">
      <c r="A245">
        <v>100</v>
      </c>
    </row>
    <row r="247" spans="1:2" x14ac:dyDescent="0.35">
      <c r="A247" t="s">
        <v>148</v>
      </c>
      <c r="B247" t="str">
        <f>MID(A247,FIND(A248,A247)-20,8)</f>
        <v>"TestCub</v>
      </c>
    </row>
    <row r="248" spans="1:2" x14ac:dyDescent="0.35">
      <c r="A248" t="s">
        <v>139</v>
      </c>
    </row>
    <row r="249" spans="1:2" x14ac:dyDescent="0.35">
      <c r="A249">
        <v>100</v>
      </c>
    </row>
    <row r="251" spans="1:2" x14ac:dyDescent="0.35">
      <c r="A251" t="s">
        <v>148</v>
      </c>
      <c r="B251" t="str">
        <f>MID(A251,FIND(A252,A251)-20,8)</f>
        <v>"TestCub</v>
      </c>
    </row>
    <row r="252" spans="1:2" x14ac:dyDescent="0.35">
      <c r="A252" t="s">
        <v>139</v>
      </c>
    </row>
    <row r="253" spans="1:2" x14ac:dyDescent="0.35">
      <c r="A253">
        <v>100</v>
      </c>
    </row>
    <row r="255" spans="1:2" x14ac:dyDescent="0.35">
      <c r="A255" t="s">
        <v>148</v>
      </c>
      <c r="B255" t="str">
        <f>MID(A255,FIND(A256,A255)-20,8)</f>
        <v>"TestCub</v>
      </c>
    </row>
    <row r="256" spans="1:2" x14ac:dyDescent="0.35">
      <c r="A256" t="s">
        <v>139</v>
      </c>
    </row>
    <row r="257" spans="1:2" x14ac:dyDescent="0.35">
      <c r="A257">
        <v>100</v>
      </c>
    </row>
    <row r="259" spans="1:2" x14ac:dyDescent="0.35">
      <c r="A259" t="s">
        <v>148</v>
      </c>
      <c r="B259" t="str">
        <f>MID(A259,FIND(A260,A259)-20,8)</f>
        <v>"TestCub</v>
      </c>
    </row>
    <row r="260" spans="1:2" x14ac:dyDescent="0.35">
      <c r="A260" t="s">
        <v>139</v>
      </c>
    </row>
    <row r="261" spans="1:2" x14ac:dyDescent="0.35">
      <c r="A261">
        <v>100</v>
      </c>
    </row>
    <row r="263" spans="1:2" x14ac:dyDescent="0.35">
      <c r="A263" t="s">
        <v>148</v>
      </c>
    </row>
    <row r="264" spans="1:2" x14ac:dyDescent="0.35">
      <c r="A264" t="s">
        <v>136</v>
      </c>
    </row>
    <row r="265" spans="1:2" x14ac:dyDescent="0.35">
      <c r="A265">
        <v>100</v>
      </c>
    </row>
    <row r="267" spans="1:2" x14ac:dyDescent="0.35">
      <c r="A267" t="s">
        <v>148</v>
      </c>
    </row>
    <row r="268" spans="1:2" x14ac:dyDescent="0.35">
      <c r="A268" t="s">
        <v>136</v>
      </c>
    </row>
    <row r="269" spans="1:2" x14ac:dyDescent="0.35">
      <c r="A269">
        <v>100</v>
      </c>
    </row>
    <row r="271" spans="1:2" x14ac:dyDescent="0.35">
      <c r="A271" t="s">
        <v>148</v>
      </c>
    </row>
    <row r="272" spans="1:2" x14ac:dyDescent="0.35">
      <c r="A272" t="s">
        <v>139</v>
      </c>
    </row>
    <row r="273" spans="1:1" x14ac:dyDescent="0.35">
      <c r="A273">
        <v>100</v>
      </c>
    </row>
    <row r="275" spans="1:1" x14ac:dyDescent="0.35">
      <c r="A275" t="s">
        <v>148</v>
      </c>
    </row>
    <row r="276" spans="1:1" x14ac:dyDescent="0.35">
      <c r="A276" t="s">
        <v>139</v>
      </c>
    </row>
    <row r="277" spans="1:1" x14ac:dyDescent="0.35">
      <c r="A277">
        <v>100</v>
      </c>
    </row>
    <row r="279" spans="1:1" x14ac:dyDescent="0.35">
      <c r="A279" t="s">
        <v>148</v>
      </c>
    </row>
    <row r="280" spans="1:1" x14ac:dyDescent="0.35">
      <c r="A280" t="s">
        <v>139</v>
      </c>
    </row>
    <row r="281" spans="1:1" x14ac:dyDescent="0.35">
      <c r="A281">
        <v>100</v>
      </c>
    </row>
    <row r="283" spans="1:1" x14ac:dyDescent="0.35">
      <c r="A283" t="s">
        <v>149</v>
      </c>
    </row>
    <row r="284" spans="1:1" x14ac:dyDescent="0.35">
      <c r="A284" t="s">
        <v>134</v>
      </c>
    </row>
    <row r="285" spans="1:1" x14ac:dyDescent="0.35">
      <c r="A285">
        <v>1150</v>
      </c>
    </row>
    <row r="287" spans="1:1" x14ac:dyDescent="0.35">
      <c r="A287" t="s">
        <v>149</v>
      </c>
    </row>
    <row r="288" spans="1:1" x14ac:dyDescent="0.35">
      <c r="A288" t="s">
        <v>141</v>
      </c>
    </row>
    <row r="289" spans="1:1" x14ac:dyDescent="0.35">
      <c r="A289">
        <v>1300</v>
      </c>
    </row>
    <row r="291" spans="1:1" x14ac:dyDescent="0.35">
      <c r="A291" t="s">
        <v>149</v>
      </c>
    </row>
    <row r="292" spans="1:1" x14ac:dyDescent="0.35">
      <c r="A292" t="s">
        <v>133</v>
      </c>
    </row>
    <row r="293" spans="1:1" x14ac:dyDescent="0.35">
      <c r="A293">
        <v>1150</v>
      </c>
    </row>
    <row r="295" spans="1:1" x14ac:dyDescent="0.35">
      <c r="A295" t="s">
        <v>149</v>
      </c>
    </row>
    <row r="296" spans="1:1" x14ac:dyDescent="0.35">
      <c r="A296" t="s">
        <v>135</v>
      </c>
    </row>
    <row r="297" spans="1:1" x14ac:dyDescent="0.35">
      <c r="A297">
        <v>1450</v>
      </c>
    </row>
    <row r="299" spans="1:1" x14ac:dyDescent="0.35">
      <c r="A299" t="s">
        <v>149</v>
      </c>
    </row>
    <row r="300" spans="1:1" x14ac:dyDescent="0.35">
      <c r="A300" t="s">
        <v>139</v>
      </c>
    </row>
    <row r="301" spans="1:1" x14ac:dyDescent="0.35">
      <c r="A301">
        <v>100</v>
      </c>
    </row>
    <row r="303" spans="1:1" x14ac:dyDescent="0.35">
      <c r="A303" t="s">
        <v>149</v>
      </c>
    </row>
    <row r="304" spans="1:1" x14ac:dyDescent="0.35">
      <c r="A304" t="s">
        <v>139</v>
      </c>
    </row>
    <row r="305" spans="1:1" x14ac:dyDescent="0.35">
      <c r="A305">
        <v>100</v>
      </c>
    </row>
    <row r="307" spans="1:1" x14ac:dyDescent="0.35">
      <c r="A307" t="s">
        <v>149</v>
      </c>
    </row>
    <row r="308" spans="1:1" x14ac:dyDescent="0.35">
      <c r="A308" t="s">
        <v>139</v>
      </c>
    </row>
    <row r="309" spans="1:1" x14ac:dyDescent="0.35">
      <c r="A309">
        <v>100</v>
      </c>
    </row>
    <row r="311" spans="1:1" x14ac:dyDescent="0.35">
      <c r="A311" t="s">
        <v>149</v>
      </c>
    </row>
    <row r="312" spans="1:1" x14ac:dyDescent="0.35">
      <c r="A312" t="s">
        <v>139</v>
      </c>
    </row>
    <row r="313" spans="1:1" x14ac:dyDescent="0.35">
      <c r="A313">
        <v>100</v>
      </c>
    </row>
    <row r="315" spans="1:1" x14ac:dyDescent="0.35">
      <c r="A315" t="s">
        <v>149</v>
      </c>
    </row>
    <row r="316" spans="1:1" x14ac:dyDescent="0.35">
      <c r="A316" t="s">
        <v>139</v>
      </c>
    </row>
    <row r="317" spans="1:1" x14ac:dyDescent="0.35">
      <c r="A317">
        <v>100</v>
      </c>
    </row>
    <row r="319" spans="1:1" x14ac:dyDescent="0.35">
      <c r="A319" t="s">
        <v>149</v>
      </c>
    </row>
    <row r="320" spans="1:1" x14ac:dyDescent="0.35">
      <c r="A320" t="s">
        <v>139</v>
      </c>
    </row>
    <row r="321" spans="1:1" x14ac:dyDescent="0.35">
      <c r="A321">
        <v>100</v>
      </c>
    </row>
    <row r="323" spans="1:1" x14ac:dyDescent="0.35">
      <c r="A323" t="s">
        <v>149</v>
      </c>
    </row>
    <row r="324" spans="1:1" x14ac:dyDescent="0.35">
      <c r="A324" t="s">
        <v>139</v>
      </c>
    </row>
    <row r="325" spans="1:1" x14ac:dyDescent="0.35">
      <c r="A325">
        <v>100</v>
      </c>
    </row>
    <row r="327" spans="1:1" x14ac:dyDescent="0.35">
      <c r="A327" t="s">
        <v>149</v>
      </c>
    </row>
    <row r="328" spans="1:1" x14ac:dyDescent="0.35">
      <c r="A328" t="s">
        <v>139</v>
      </c>
    </row>
    <row r="329" spans="1:1" x14ac:dyDescent="0.35">
      <c r="A329">
        <v>100</v>
      </c>
    </row>
    <row r="331" spans="1:1" x14ac:dyDescent="0.35">
      <c r="A331" t="s">
        <v>149</v>
      </c>
    </row>
    <row r="332" spans="1:1" x14ac:dyDescent="0.35">
      <c r="A332" t="s">
        <v>139</v>
      </c>
    </row>
    <row r="333" spans="1:1" x14ac:dyDescent="0.35">
      <c r="A333">
        <v>100</v>
      </c>
    </row>
    <row r="335" spans="1:1" x14ac:dyDescent="0.35">
      <c r="A335" t="s">
        <v>149</v>
      </c>
    </row>
    <row r="336" spans="1:1" x14ac:dyDescent="0.35">
      <c r="A336" t="s">
        <v>139</v>
      </c>
    </row>
    <row r="337" spans="1:1" x14ac:dyDescent="0.35">
      <c r="A337">
        <v>100</v>
      </c>
    </row>
    <row r="339" spans="1:1" x14ac:dyDescent="0.35">
      <c r="A339" t="s">
        <v>149</v>
      </c>
    </row>
    <row r="340" spans="1:1" x14ac:dyDescent="0.35">
      <c r="A340" t="s">
        <v>139</v>
      </c>
    </row>
    <row r="341" spans="1:1" x14ac:dyDescent="0.35">
      <c r="A341">
        <v>100</v>
      </c>
    </row>
    <row r="343" spans="1:1" x14ac:dyDescent="0.35">
      <c r="A343" t="s">
        <v>149</v>
      </c>
    </row>
    <row r="344" spans="1:1" x14ac:dyDescent="0.35">
      <c r="A344" t="s">
        <v>150</v>
      </c>
    </row>
    <row r="345" spans="1:1" x14ac:dyDescent="0.35">
      <c r="A345">
        <v>1300</v>
      </c>
    </row>
    <row r="347" spans="1:1" x14ac:dyDescent="0.35">
      <c r="A347" t="s">
        <v>151</v>
      </c>
    </row>
    <row r="348" spans="1:1" x14ac:dyDescent="0.35">
      <c r="A348" t="s">
        <v>139</v>
      </c>
    </row>
    <row r="349" spans="1:1" x14ac:dyDescent="0.35">
      <c r="A349">
        <v>100</v>
      </c>
    </row>
    <row r="351" spans="1:1" x14ac:dyDescent="0.35">
      <c r="A351" t="s">
        <v>151</v>
      </c>
    </row>
    <row r="352" spans="1:1" x14ac:dyDescent="0.35">
      <c r="A352" t="s">
        <v>139</v>
      </c>
    </row>
    <row r="353" spans="1:1" x14ac:dyDescent="0.35">
      <c r="A353">
        <v>100</v>
      </c>
    </row>
    <row r="355" spans="1:1" x14ac:dyDescent="0.35">
      <c r="A355" t="s">
        <v>151</v>
      </c>
    </row>
    <row r="356" spans="1:1" x14ac:dyDescent="0.35">
      <c r="A356" t="s">
        <v>139</v>
      </c>
    </row>
    <row r="357" spans="1:1" x14ac:dyDescent="0.35">
      <c r="A357">
        <v>100</v>
      </c>
    </row>
    <row r="359" spans="1:1" x14ac:dyDescent="0.35">
      <c r="A359" t="s">
        <v>151</v>
      </c>
    </row>
    <row r="360" spans="1:1" x14ac:dyDescent="0.35">
      <c r="A360" t="s">
        <v>139</v>
      </c>
    </row>
    <row r="361" spans="1:1" x14ac:dyDescent="0.35">
      <c r="A361">
        <v>100</v>
      </c>
    </row>
    <row r="363" spans="1:1" x14ac:dyDescent="0.35">
      <c r="A363" t="s">
        <v>151</v>
      </c>
    </row>
    <row r="364" spans="1:1" x14ac:dyDescent="0.35">
      <c r="A364" t="s">
        <v>139</v>
      </c>
    </row>
    <row r="365" spans="1:1" x14ac:dyDescent="0.35">
      <c r="A365">
        <v>100</v>
      </c>
    </row>
    <row r="367" spans="1:1" x14ac:dyDescent="0.35">
      <c r="A367" t="s">
        <v>151</v>
      </c>
    </row>
    <row r="368" spans="1:1" x14ac:dyDescent="0.35">
      <c r="A368" t="s">
        <v>139</v>
      </c>
    </row>
    <row r="369" spans="1:1" x14ac:dyDescent="0.35">
      <c r="A369">
        <v>100</v>
      </c>
    </row>
    <row r="371" spans="1:1" x14ac:dyDescent="0.35">
      <c r="A371" t="s">
        <v>151</v>
      </c>
    </row>
    <row r="372" spans="1:1" x14ac:dyDescent="0.35">
      <c r="A372" t="s">
        <v>139</v>
      </c>
    </row>
    <row r="373" spans="1:1" x14ac:dyDescent="0.35">
      <c r="A373">
        <v>100</v>
      </c>
    </row>
    <row r="375" spans="1:1" x14ac:dyDescent="0.35">
      <c r="A375" t="s">
        <v>151</v>
      </c>
    </row>
    <row r="376" spans="1:1" x14ac:dyDescent="0.35">
      <c r="A376" t="s">
        <v>139</v>
      </c>
    </row>
    <row r="377" spans="1:1" x14ac:dyDescent="0.35">
      <c r="A377">
        <v>100</v>
      </c>
    </row>
    <row r="379" spans="1:1" x14ac:dyDescent="0.35">
      <c r="A379" t="s">
        <v>151</v>
      </c>
    </row>
    <row r="380" spans="1:1" x14ac:dyDescent="0.35">
      <c r="A380" t="s">
        <v>139</v>
      </c>
    </row>
    <row r="381" spans="1:1" x14ac:dyDescent="0.35">
      <c r="A381">
        <v>100</v>
      </c>
    </row>
    <row r="383" spans="1:1" x14ac:dyDescent="0.35">
      <c r="A383" t="s">
        <v>151</v>
      </c>
    </row>
    <row r="384" spans="1:1" x14ac:dyDescent="0.35">
      <c r="A384" t="s">
        <v>139</v>
      </c>
    </row>
    <row r="385" spans="1:1" x14ac:dyDescent="0.35">
      <c r="A385">
        <v>100</v>
      </c>
    </row>
    <row r="387" spans="1:1" x14ac:dyDescent="0.35">
      <c r="A387" t="s">
        <v>151</v>
      </c>
    </row>
    <row r="388" spans="1:1" x14ac:dyDescent="0.35">
      <c r="A388" t="s">
        <v>138</v>
      </c>
    </row>
    <row r="389" spans="1:1" x14ac:dyDescent="0.35">
      <c r="A389">
        <v>100</v>
      </c>
    </row>
    <row r="391" spans="1:1" x14ac:dyDescent="0.35">
      <c r="A391" t="s">
        <v>151</v>
      </c>
    </row>
    <row r="392" spans="1:1" x14ac:dyDescent="0.35">
      <c r="A392" t="s">
        <v>138</v>
      </c>
    </row>
    <row r="393" spans="1:1" x14ac:dyDescent="0.35">
      <c r="A393">
        <v>100</v>
      </c>
    </row>
    <row r="395" spans="1:1" x14ac:dyDescent="0.35">
      <c r="A395" t="s">
        <v>151</v>
      </c>
    </row>
    <row r="396" spans="1:1" x14ac:dyDescent="0.35">
      <c r="A396" t="s">
        <v>138</v>
      </c>
    </row>
    <row r="397" spans="1:1" x14ac:dyDescent="0.35">
      <c r="A397">
        <v>100</v>
      </c>
    </row>
    <row r="399" spans="1:1" x14ac:dyDescent="0.35">
      <c r="A399" t="s">
        <v>151</v>
      </c>
    </row>
    <row r="400" spans="1:1" x14ac:dyDescent="0.35">
      <c r="A400" t="s">
        <v>141</v>
      </c>
    </row>
    <row r="401" spans="1:1" x14ac:dyDescent="0.35">
      <c r="A401">
        <v>1300</v>
      </c>
    </row>
    <row r="403" spans="1:1" x14ac:dyDescent="0.35">
      <c r="A403" t="s">
        <v>151</v>
      </c>
    </row>
    <row r="404" spans="1:1" x14ac:dyDescent="0.35">
      <c r="A404" t="s">
        <v>133</v>
      </c>
    </row>
    <row r="405" spans="1:1" x14ac:dyDescent="0.35">
      <c r="A405">
        <v>1150</v>
      </c>
    </row>
    <row r="407" spans="1:1" x14ac:dyDescent="0.35">
      <c r="A407" t="s">
        <v>151</v>
      </c>
    </row>
    <row r="408" spans="1:1" x14ac:dyDescent="0.35">
      <c r="A408" t="s">
        <v>132</v>
      </c>
    </row>
    <row r="409" spans="1:1" x14ac:dyDescent="0.35">
      <c r="A409">
        <v>1150</v>
      </c>
    </row>
    <row r="411" spans="1:1" x14ac:dyDescent="0.35">
      <c r="A411" t="s">
        <v>151</v>
      </c>
    </row>
    <row r="412" spans="1:1" x14ac:dyDescent="0.35">
      <c r="A412" t="s">
        <v>150</v>
      </c>
    </row>
    <row r="413" spans="1:1" x14ac:dyDescent="0.35">
      <c r="A413">
        <v>1300</v>
      </c>
    </row>
    <row r="415" spans="1:1" x14ac:dyDescent="0.35">
      <c r="A415" t="s">
        <v>151</v>
      </c>
    </row>
    <row r="416" spans="1:1" x14ac:dyDescent="0.35">
      <c r="A416" t="s">
        <v>134</v>
      </c>
    </row>
    <row r="417" spans="1:1" x14ac:dyDescent="0.35">
      <c r="A417">
        <v>1150</v>
      </c>
    </row>
    <row r="419" spans="1:1" x14ac:dyDescent="0.35">
      <c r="A419" t="s">
        <v>151</v>
      </c>
    </row>
    <row r="420" spans="1:1" x14ac:dyDescent="0.35">
      <c r="A420" t="s">
        <v>152</v>
      </c>
    </row>
    <row r="421" spans="1:1" x14ac:dyDescent="0.35">
      <c r="A421">
        <v>2170</v>
      </c>
    </row>
    <row r="423" spans="1:1" x14ac:dyDescent="0.35">
      <c r="A423" t="s">
        <v>153</v>
      </c>
    </row>
    <row r="424" spans="1:1" x14ac:dyDescent="0.35">
      <c r="A424" t="s">
        <v>139</v>
      </c>
    </row>
    <row r="425" spans="1:1" x14ac:dyDescent="0.35">
      <c r="A425">
        <v>100</v>
      </c>
    </row>
    <row r="427" spans="1:1" x14ac:dyDescent="0.35">
      <c r="A427" t="s">
        <v>153</v>
      </c>
    </row>
    <row r="428" spans="1:1" x14ac:dyDescent="0.35">
      <c r="A428" t="s">
        <v>139</v>
      </c>
    </row>
    <row r="429" spans="1:1" x14ac:dyDescent="0.35">
      <c r="A429">
        <v>100</v>
      </c>
    </row>
    <row r="431" spans="1:1" x14ac:dyDescent="0.35">
      <c r="A431" t="s">
        <v>153</v>
      </c>
    </row>
    <row r="432" spans="1:1" x14ac:dyDescent="0.35">
      <c r="A432" t="s">
        <v>139</v>
      </c>
    </row>
    <row r="433" spans="1:1" x14ac:dyDescent="0.35">
      <c r="A433">
        <v>100</v>
      </c>
    </row>
    <row r="435" spans="1:1" x14ac:dyDescent="0.35">
      <c r="A435" t="s">
        <v>153</v>
      </c>
    </row>
    <row r="436" spans="1:1" x14ac:dyDescent="0.35">
      <c r="A436" t="s">
        <v>139</v>
      </c>
    </row>
    <row r="437" spans="1:1" x14ac:dyDescent="0.35">
      <c r="A437">
        <v>100</v>
      </c>
    </row>
    <row r="439" spans="1:1" x14ac:dyDescent="0.35">
      <c r="A439" t="s">
        <v>153</v>
      </c>
    </row>
    <row r="440" spans="1:1" x14ac:dyDescent="0.35">
      <c r="A440" t="s">
        <v>139</v>
      </c>
    </row>
    <row r="441" spans="1:1" x14ac:dyDescent="0.35">
      <c r="A441">
        <v>100</v>
      </c>
    </row>
    <row r="443" spans="1:1" x14ac:dyDescent="0.35">
      <c r="A443" t="s">
        <v>153</v>
      </c>
    </row>
    <row r="444" spans="1:1" x14ac:dyDescent="0.35">
      <c r="A444" t="s">
        <v>139</v>
      </c>
    </row>
    <row r="445" spans="1:1" x14ac:dyDescent="0.35">
      <c r="A445">
        <v>100</v>
      </c>
    </row>
    <row r="447" spans="1:1" x14ac:dyDescent="0.35">
      <c r="A447" t="s">
        <v>153</v>
      </c>
    </row>
    <row r="448" spans="1:1" x14ac:dyDescent="0.35">
      <c r="A448" t="s">
        <v>139</v>
      </c>
    </row>
    <row r="449" spans="1:1" x14ac:dyDescent="0.35">
      <c r="A449">
        <v>100</v>
      </c>
    </row>
    <row r="451" spans="1:1" x14ac:dyDescent="0.35">
      <c r="A451" t="s">
        <v>153</v>
      </c>
    </row>
    <row r="452" spans="1:1" x14ac:dyDescent="0.35">
      <c r="A452" t="s">
        <v>139</v>
      </c>
    </row>
    <row r="453" spans="1:1" x14ac:dyDescent="0.35">
      <c r="A453">
        <v>100</v>
      </c>
    </row>
    <row r="455" spans="1:1" x14ac:dyDescent="0.35">
      <c r="A455" t="s">
        <v>153</v>
      </c>
    </row>
    <row r="456" spans="1:1" x14ac:dyDescent="0.35">
      <c r="A456" t="s">
        <v>139</v>
      </c>
    </row>
    <row r="457" spans="1:1" x14ac:dyDescent="0.35">
      <c r="A457">
        <v>100</v>
      </c>
    </row>
    <row r="459" spans="1:1" x14ac:dyDescent="0.35">
      <c r="A459" t="s">
        <v>153</v>
      </c>
    </row>
    <row r="460" spans="1:1" x14ac:dyDescent="0.35">
      <c r="A460" t="s">
        <v>139</v>
      </c>
    </row>
    <row r="461" spans="1:1" x14ac:dyDescent="0.35">
      <c r="A461">
        <v>100</v>
      </c>
    </row>
    <row r="463" spans="1:1" x14ac:dyDescent="0.35">
      <c r="A463" t="s">
        <v>153</v>
      </c>
    </row>
    <row r="464" spans="1:1" x14ac:dyDescent="0.35">
      <c r="A464" t="s">
        <v>138</v>
      </c>
    </row>
    <row r="465" spans="1:2" x14ac:dyDescent="0.35">
      <c r="A465">
        <v>100</v>
      </c>
    </row>
    <row r="467" spans="1:2" x14ac:dyDescent="0.35">
      <c r="A467" t="s">
        <v>153</v>
      </c>
    </row>
    <row r="468" spans="1:2" x14ac:dyDescent="0.35">
      <c r="A468" t="s">
        <v>138</v>
      </c>
    </row>
    <row r="469" spans="1:2" x14ac:dyDescent="0.35">
      <c r="A469">
        <v>100</v>
      </c>
    </row>
    <row r="471" spans="1:2" x14ac:dyDescent="0.35">
      <c r="A471" t="s">
        <v>153</v>
      </c>
    </row>
    <row r="472" spans="1:2" x14ac:dyDescent="0.35">
      <c r="A472" t="s">
        <v>138</v>
      </c>
    </row>
    <row r="473" spans="1:2" x14ac:dyDescent="0.35">
      <c r="A473">
        <v>100</v>
      </c>
    </row>
    <row r="475" spans="1:2" x14ac:dyDescent="0.35">
      <c r="A475" t="s">
        <v>153</v>
      </c>
      <c r="B475" t="str">
        <f>MID(A475,FIND(A476,A475)-20,8)</f>
        <v>T5_Nunu_</v>
      </c>
    </row>
    <row r="476" spans="1:2" x14ac:dyDescent="0.35">
      <c r="A476" t="s">
        <v>154</v>
      </c>
    </row>
    <row r="477" spans="1:2" x14ac:dyDescent="0.35">
      <c r="A477">
        <v>1450</v>
      </c>
    </row>
    <row r="479" spans="1:2" x14ac:dyDescent="0.35">
      <c r="A479" t="s">
        <v>153</v>
      </c>
      <c r="B479" t="str">
        <f>MID(A479,FIND(A480,A479)-20,8)</f>
        <v>Sejuani_</v>
      </c>
    </row>
    <row r="480" spans="1:2" x14ac:dyDescent="0.35">
      <c r="A480" t="s">
        <v>134</v>
      </c>
    </row>
    <row r="481" spans="1:2" x14ac:dyDescent="0.35">
      <c r="A481">
        <v>1150</v>
      </c>
    </row>
    <row r="483" spans="1:2" x14ac:dyDescent="0.35">
      <c r="A483" t="s">
        <v>153</v>
      </c>
      <c r="B483" t="str">
        <f>MID(A483,FIND(A484,A483)-20,8)</f>
        <v>5_Nunu_2</v>
      </c>
    </row>
    <row r="484" spans="1:2" x14ac:dyDescent="0.35">
      <c r="A484" t="s">
        <v>155</v>
      </c>
    </row>
    <row r="485" spans="1:2" x14ac:dyDescent="0.35">
      <c r="A485">
        <v>2320</v>
      </c>
    </row>
    <row r="487" spans="1:2" x14ac:dyDescent="0.35">
      <c r="A487" t="s">
        <v>156</v>
      </c>
      <c r="B487" t="str">
        <f>MID(A487,FIND(A488,A487)-20,8)</f>
        <v>"TestCub</v>
      </c>
    </row>
    <row r="488" spans="1:2" x14ac:dyDescent="0.35">
      <c r="A488" t="s">
        <v>139</v>
      </c>
    </row>
    <row r="489" spans="1:2" x14ac:dyDescent="0.35">
      <c r="A489">
        <v>100</v>
      </c>
    </row>
    <row r="491" spans="1:2" x14ac:dyDescent="0.35">
      <c r="A491" t="s">
        <v>156</v>
      </c>
      <c r="B491" t="str">
        <f>MID(A491,FIND(A492,A491)-20,8)</f>
        <v>"TestCub</v>
      </c>
    </row>
    <row r="492" spans="1:2" x14ac:dyDescent="0.35">
      <c r="A492" t="s">
        <v>139</v>
      </c>
    </row>
    <row r="493" spans="1:2" x14ac:dyDescent="0.35">
      <c r="A493">
        <v>100</v>
      </c>
    </row>
    <row r="495" spans="1:2" x14ac:dyDescent="0.35">
      <c r="A495" t="s">
        <v>156</v>
      </c>
      <c r="B495" t="str">
        <f>MID(A495,FIND(A496,A495)-20,8)</f>
        <v>"TestCub</v>
      </c>
    </row>
    <row r="496" spans="1:2" x14ac:dyDescent="0.35">
      <c r="A496" t="s">
        <v>139</v>
      </c>
    </row>
    <row r="497" spans="1:2" x14ac:dyDescent="0.35">
      <c r="A497">
        <v>100</v>
      </c>
    </row>
    <row r="499" spans="1:2" x14ac:dyDescent="0.35">
      <c r="A499" t="s">
        <v>156</v>
      </c>
      <c r="B499" t="str">
        <f>MID(A499,FIND(A500,A499)-20,8)</f>
        <v>"TestCub</v>
      </c>
    </row>
    <row r="500" spans="1:2" x14ac:dyDescent="0.35">
      <c r="A500" t="s">
        <v>139</v>
      </c>
    </row>
    <row r="501" spans="1:2" x14ac:dyDescent="0.35">
      <c r="A501">
        <v>100</v>
      </c>
    </row>
    <row r="503" spans="1:2" x14ac:dyDescent="0.35">
      <c r="A503" t="s">
        <v>156</v>
      </c>
      <c r="B503" t="str">
        <f>MID(A503,FIND(A504,A503)-20,8)</f>
        <v>"TestCub</v>
      </c>
    </row>
    <row r="504" spans="1:2" x14ac:dyDescent="0.35">
      <c r="A504" t="s">
        <v>139</v>
      </c>
    </row>
    <row r="505" spans="1:2" x14ac:dyDescent="0.35">
      <c r="A505">
        <v>100</v>
      </c>
    </row>
    <row r="507" spans="1:2" x14ac:dyDescent="0.35">
      <c r="A507" t="s">
        <v>156</v>
      </c>
      <c r="B507" t="str">
        <f>MID(A507,FIND(A508,A507)-20,8)</f>
        <v>"TestCub</v>
      </c>
    </row>
    <row r="508" spans="1:2" x14ac:dyDescent="0.35">
      <c r="A508" t="s">
        <v>139</v>
      </c>
    </row>
    <row r="509" spans="1:2" x14ac:dyDescent="0.35">
      <c r="A509">
        <v>100</v>
      </c>
    </row>
    <row r="511" spans="1:2" x14ac:dyDescent="0.35">
      <c r="A511" t="s">
        <v>156</v>
      </c>
      <c r="B511" t="str">
        <f>MID(A511,FIND(A512,A511)-20,8)</f>
        <v>"TestCub</v>
      </c>
    </row>
    <row r="512" spans="1:2" x14ac:dyDescent="0.35">
      <c r="A512" t="s">
        <v>139</v>
      </c>
    </row>
    <row r="513" spans="1:2" x14ac:dyDescent="0.35">
      <c r="A513">
        <v>100</v>
      </c>
    </row>
    <row r="515" spans="1:2" x14ac:dyDescent="0.35">
      <c r="A515" t="s">
        <v>156</v>
      </c>
      <c r="B515" t="str">
        <f>MID(A515,FIND(A516,A515)-20,8)</f>
        <v>"TestCub</v>
      </c>
    </row>
    <row r="516" spans="1:2" x14ac:dyDescent="0.35">
      <c r="A516" t="s">
        <v>139</v>
      </c>
    </row>
    <row r="517" spans="1:2" x14ac:dyDescent="0.35">
      <c r="A517">
        <v>100</v>
      </c>
    </row>
    <row r="519" spans="1:2" x14ac:dyDescent="0.35">
      <c r="A519" t="s">
        <v>156</v>
      </c>
      <c r="B519" t="str">
        <f>MID(A519,FIND(A520,A519)-20,8)</f>
        <v>"TestCub</v>
      </c>
    </row>
    <row r="520" spans="1:2" x14ac:dyDescent="0.35">
      <c r="A520" t="s">
        <v>139</v>
      </c>
    </row>
    <row r="521" spans="1:2" x14ac:dyDescent="0.35">
      <c r="A521">
        <v>100</v>
      </c>
    </row>
    <row r="523" spans="1:2" x14ac:dyDescent="0.35">
      <c r="A523" t="s">
        <v>156</v>
      </c>
      <c r="B523" t="str">
        <f>MID(A523,FIND(A524,A523)-20,8)</f>
        <v>"TestCub</v>
      </c>
    </row>
    <row r="524" spans="1:2" x14ac:dyDescent="0.35">
      <c r="A524" t="s">
        <v>138</v>
      </c>
    </row>
    <row r="525" spans="1:2" x14ac:dyDescent="0.35">
      <c r="A525">
        <v>100</v>
      </c>
    </row>
    <row r="527" spans="1:2" x14ac:dyDescent="0.35">
      <c r="A527" t="s">
        <v>156</v>
      </c>
      <c r="B527" t="str">
        <f>MID(A527,FIND(A528,A527)-20,8)</f>
        <v>"TestCub</v>
      </c>
    </row>
    <row r="528" spans="1:2" x14ac:dyDescent="0.35">
      <c r="A528" t="s">
        <v>138</v>
      </c>
    </row>
    <row r="529" spans="1:2" x14ac:dyDescent="0.35">
      <c r="A529">
        <v>100</v>
      </c>
    </row>
    <row r="531" spans="1:2" x14ac:dyDescent="0.35">
      <c r="A531" t="s">
        <v>156</v>
      </c>
      <c r="B531" t="str">
        <f>MID(A531,FIND(A532,A531)-20,8)</f>
        <v>T5_Nunu_</v>
      </c>
    </row>
    <row r="532" spans="1:2" x14ac:dyDescent="0.35">
      <c r="A532" t="s">
        <v>157</v>
      </c>
    </row>
    <row r="533" spans="1:2" x14ac:dyDescent="0.35">
      <c r="A533">
        <v>1450</v>
      </c>
    </row>
    <row r="535" spans="1:2" x14ac:dyDescent="0.35">
      <c r="A535" t="s">
        <v>156</v>
      </c>
      <c r="B535" t="str">
        <f>MID(A535,FIND(A536,A535)-20,8)</f>
        <v>T5_Nunu_</v>
      </c>
    </row>
    <row r="536" spans="1:2" x14ac:dyDescent="0.35">
      <c r="A536" t="s">
        <v>154</v>
      </c>
    </row>
    <row r="537" spans="1:2" x14ac:dyDescent="0.35">
      <c r="A537">
        <v>1450</v>
      </c>
    </row>
    <row r="539" spans="1:2" x14ac:dyDescent="0.35">
      <c r="A539" t="s">
        <v>156</v>
      </c>
      <c r="B539" t="str">
        <f>MID(A539,FIND(A540,A539)-20,8)</f>
        <v>Sejuani_</v>
      </c>
    </row>
    <row r="540" spans="1:2" x14ac:dyDescent="0.35">
      <c r="A540" t="s">
        <v>134</v>
      </c>
    </row>
    <row r="541" spans="1:2" x14ac:dyDescent="0.35">
      <c r="A541">
        <v>1150</v>
      </c>
    </row>
    <row r="543" spans="1:2" x14ac:dyDescent="0.35">
      <c r="A543" t="s">
        <v>156</v>
      </c>
      <c r="B543" t="str">
        <f>MID(A543,FIND(A544,A543)-20,8)</f>
        <v>5_Nunu_2</v>
      </c>
    </row>
    <row r="544" spans="1:2" x14ac:dyDescent="0.35">
      <c r="A544" t="s">
        <v>155</v>
      </c>
    </row>
    <row r="545" spans="1:2" x14ac:dyDescent="0.35">
      <c r="A545">
        <v>2320</v>
      </c>
    </row>
    <row r="547" spans="1:2" x14ac:dyDescent="0.35">
      <c r="A547" t="s">
        <v>158</v>
      </c>
      <c r="B547" t="str">
        <f>MID(A547,FIND(A548,A547)-20,8)</f>
        <v>"TestCub</v>
      </c>
    </row>
    <row r="548" spans="1:2" x14ac:dyDescent="0.35">
      <c r="A548" t="s">
        <v>139</v>
      </c>
    </row>
    <row r="549" spans="1:2" x14ac:dyDescent="0.35">
      <c r="A549">
        <v>100</v>
      </c>
    </row>
    <row r="551" spans="1:2" x14ac:dyDescent="0.35">
      <c r="A551" t="s">
        <v>158</v>
      </c>
      <c r="B551" t="str">
        <f>MID(A551,FIND(A552,A551)-20,8)</f>
        <v>"TestCub</v>
      </c>
    </row>
    <row r="552" spans="1:2" x14ac:dyDescent="0.35">
      <c r="A552" t="s">
        <v>139</v>
      </c>
    </row>
    <row r="553" spans="1:2" x14ac:dyDescent="0.35">
      <c r="A553">
        <v>100</v>
      </c>
    </row>
    <row r="555" spans="1:2" x14ac:dyDescent="0.35">
      <c r="A555" t="s">
        <v>158</v>
      </c>
      <c r="B555" t="str">
        <f>MID(A555,FIND(A556,A555)-20,8)</f>
        <v>"TestCub</v>
      </c>
    </row>
    <row r="556" spans="1:2" x14ac:dyDescent="0.35">
      <c r="A556" t="s">
        <v>139</v>
      </c>
    </row>
    <row r="557" spans="1:2" x14ac:dyDescent="0.35">
      <c r="A557">
        <v>100</v>
      </c>
    </row>
    <row r="559" spans="1:2" x14ac:dyDescent="0.35">
      <c r="A559" t="s">
        <v>158</v>
      </c>
      <c r="B559" t="str">
        <f>MID(A559,FIND(A560,A559)-20,8)</f>
        <v>"TestCub</v>
      </c>
    </row>
    <row r="560" spans="1:2" x14ac:dyDescent="0.35">
      <c r="A560" t="s">
        <v>139</v>
      </c>
    </row>
    <row r="561" spans="1:2" x14ac:dyDescent="0.35">
      <c r="A561">
        <v>100</v>
      </c>
    </row>
    <row r="563" spans="1:2" x14ac:dyDescent="0.35">
      <c r="A563" t="s">
        <v>158</v>
      </c>
      <c r="B563" t="str">
        <f>MID(A563,FIND(A564,A563)-20,8)</f>
        <v>"TestCub</v>
      </c>
    </row>
    <row r="564" spans="1:2" x14ac:dyDescent="0.35">
      <c r="A564" t="s">
        <v>139</v>
      </c>
    </row>
    <row r="565" spans="1:2" x14ac:dyDescent="0.35">
      <c r="A565">
        <v>100</v>
      </c>
    </row>
    <row r="567" spans="1:2" x14ac:dyDescent="0.35">
      <c r="A567" t="s">
        <v>158</v>
      </c>
      <c r="B567" t="str">
        <f>MID(A567,FIND(A568,A567)-20,8)</f>
        <v>"TestCub</v>
      </c>
    </row>
    <row r="568" spans="1:2" x14ac:dyDescent="0.35">
      <c r="A568" t="s">
        <v>139</v>
      </c>
    </row>
    <row r="569" spans="1:2" x14ac:dyDescent="0.35">
      <c r="A569">
        <v>100</v>
      </c>
    </row>
    <row r="571" spans="1:2" x14ac:dyDescent="0.35">
      <c r="A571" t="s">
        <v>158</v>
      </c>
      <c r="B571" t="str">
        <f>MID(A571,FIND(A572,A571)-20,8)</f>
        <v>"TestCub</v>
      </c>
    </row>
    <row r="572" spans="1:2" x14ac:dyDescent="0.35">
      <c r="A572" t="s">
        <v>139</v>
      </c>
    </row>
    <row r="573" spans="1:2" x14ac:dyDescent="0.35">
      <c r="A573">
        <v>100</v>
      </c>
    </row>
    <row r="575" spans="1:2" x14ac:dyDescent="0.35">
      <c r="A575" t="s">
        <v>158</v>
      </c>
      <c r="B575" t="str">
        <f>MID(A575,FIND(A576,A575)-20,8)</f>
        <v>"TestCub</v>
      </c>
    </row>
    <row r="576" spans="1:2" x14ac:dyDescent="0.35">
      <c r="A576" t="s">
        <v>139</v>
      </c>
    </row>
    <row r="577" spans="1:2" x14ac:dyDescent="0.35">
      <c r="A577">
        <v>100</v>
      </c>
    </row>
    <row r="579" spans="1:2" x14ac:dyDescent="0.35">
      <c r="A579" t="s">
        <v>158</v>
      </c>
      <c r="B579" t="str">
        <f>MID(A579,FIND(A580,A579)-20,8)</f>
        <v>"TestCub</v>
      </c>
    </row>
    <row r="580" spans="1:2" x14ac:dyDescent="0.35">
      <c r="A580" t="s">
        <v>139</v>
      </c>
    </row>
    <row r="581" spans="1:2" x14ac:dyDescent="0.35">
      <c r="A581">
        <v>100</v>
      </c>
    </row>
    <row r="583" spans="1:2" x14ac:dyDescent="0.35">
      <c r="A583" t="s">
        <v>158</v>
      </c>
      <c r="B583" t="str">
        <f>MID(A583,FIND(A584,A583)-20,8)</f>
        <v>"TestCub</v>
      </c>
    </row>
    <row r="584" spans="1:2" x14ac:dyDescent="0.35">
      <c r="A584" t="s">
        <v>138</v>
      </c>
    </row>
    <row r="585" spans="1:2" x14ac:dyDescent="0.35">
      <c r="A585">
        <v>100</v>
      </c>
    </row>
    <row r="587" spans="1:2" x14ac:dyDescent="0.35">
      <c r="A587" t="s">
        <v>158</v>
      </c>
      <c r="B587" t="str">
        <f>MID(A587,FIND(A588,A587)-20,8)</f>
        <v>"TestCub</v>
      </c>
    </row>
    <row r="588" spans="1:2" x14ac:dyDescent="0.35">
      <c r="A588" t="s">
        <v>138</v>
      </c>
    </row>
    <row r="589" spans="1:2" x14ac:dyDescent="0.35">
      <c r="A589">
        <v>100</v>
      </c>
    </row>
    <row r="591" spans="1:2" x14ac:dyDescent="0.35">
      <c r="A591" t="s">
        <v>158</v>
      </c>
      <c r="B591" t="str">
        <f>MID(A591,FIND(A592,A591)-20,8)</f>
        <v>T5_Nunu_</v>
      </c>
    </row>
    <row r="592" spans="1:2" x14ac:dyDescent="0.35">
      <c r="A592" t="s">
        <v>157</v>
      </c>
    </row>
    <row r="593" spans="1:2" x14ac:dyDescent="0.35">
      <c r="A593">
        <v>1450</v>
      </c>
    </row>
    <row r="595" spans="1:2" x14ac:dyDescent="0.35">
      <c r="A595" t="s">
        <v>158</v>
      </c>
      <c r="B595" t="str">
        <f>MID(A595,FIND(A596,A595)-20,8)</f>
        <v>T5_Nunu_</v>
      </c>
    </row>
    <row r="596" spans="1:2" x14ac:dyDescent="0.35">
      <c r="A596" t="s">
        <v>154</v>
      </c>
    </row>
    <row r="597" spans="1:2" x14ac:dyDescent="0.35">
      <c r="A597">
        <v>1450</v>
      </c>
    </row>
    <row r="599" spans="1:2" x14ac:dyDescent="0.35">
      <c r="A599" t="s">
        <v>158</v>
      </c>
      <c r="B599" t="str">
        <f>MID(A599,FIND(A600,A599)-20,8)</f>
        <v>Sejuani_</v>
      </c>
    </row>
    <row r="600" spans="1:2" x14ac:dyDescent="0.35">
      <c r="A600" t="s">
        <v>134</v>
      </c>
    </row>
    <row r="601" spans="1:2" x14ac:dyDescent="0.35">
      <c r="A601">
        <v>1150</v>
      </c>
    </row>
    <row r="603" spans="1:2" x14ac:dyDescent="0.35">
      <c r="A603" t="s">
        <v>158</v>
      </c>
      <c r="B603" t="str">
        <f>MID(A603,FIND(A604,A603)-20,8)</f>
        <v>5_Nunu_2</v>
      </c>
    </row>
    <row r="604" spans="1:2" x14ac:dyDescent="0.35">
      <c r="A604" t="s">
        <v>155</v>
      </c>
    </row>
    <row r="605" spans="1:2" x14ac:dyDescent="0.35">
      <c r="A605">
        <v>2320</v>
      </c>
    </row>
    <row r="607" spans="1:2" x14ac:dyDescent="0.35">
      <c r="A607" t="s">
        <v>159</v>
      </c>
      <c r="B607" t="str">
        <f>MID(A607,FIND(A608,A607)-20,8)</f>
        <v>"TestCub</v>
      </c>
    </row>
    <row r="608" spans="1:2" x14ac:dyDescent="0.35">
      <c r="A608" t="s">
        <v>139</v>
      </c>
    </row>
    <row r="609" spans="1:2" x14ac:dyDescent="0.35">
      <c r="A609">
        <v>100</v>
      </c>
    </row>
    <row r="611" spans="1:2" x14ac:dyDescent="0.35">
      <c r="A611" t="s">
        <v>159</v>
      </c>
      <c r="B611" t="str">
        <f>MID(A611,FIND(A612,A611)-20,8)</f>
        <v>"TestCub</v>
      </c>
    </row>
    <row r="612" spans="1:2" x14ac:dyDescent="0.35">
      <c r="A612" t="s">
        <v>139</v>
      </c>
    </row>
    <row r="613" spans="1:2" x14ac:dyDescent="0.35">
      <c r="A613">
        <v>100</v>
      </c>
    </row>
    <row r="615" spans="1:2" x14ac:dyDescent="0.35">
      <c r="A615" t="s">
        <v>159</v>
      </c>
      <c r="B615" t="str">
        <f>MID(A615,FIND(A616,A615)-20,8)</f>
        <v>"TestCub</v>
      </c>
    </row>
    <row r="616" spans="1:2" x14ac:dyDescent="0.35">
      <c r="A616" t="s">
        <v>139</v>
      </c>
    </row>
    <row r="617" spans="1:2" x14ac:dyDescent="0.35">
      <c r="A617">
        <v>100</v>
      </c>
    </row>
    <row r="619" spans="1:2" x14ac:dyDescent="0.35">
      <c r="A619" t="s">
        <v>159</v>
      </c>
      <c r="B619" t="str">
        <f>MID(A619,FIND(A620,A619)-20,8)</f>
        <v>T5_Nunu_</v>
      </c>
    </row>
    <row r="620" spans="1:2" x14ac:dyDescent="0.35">
      <c r="A620" t="s">
        <v>157</v>
      </c>
    </row>
    <row r="621" spans="1:2" x14ac:dyDescent="0.35">
      <c r="A621">
        <v>1450</v>
      </c>
    </row>
    <row r="623" spans="1:2" x14ac:dyDescent="0.35">
      <c r="A623" t="s">
        <v>159</v>
      </c>
      <c r="B623" t="str">
        <f>MID(A623,FIND(A624,A623)-20,8)</f>
        <v>T5_Nunu_</v>
      </c>
    </row>
    <row r="624" spans="1:2" x14ac:dyDescent="0.35">
      <c r="A624" t="s">
        <v>160</v>
      </c>
    </row>
    <row r="625" spans="1:2" x14ac:dyDescent="0.35">
      <c r="A625">
        <v>2300</v>
      </c>
    </row>
    <row r="627" spans="1:2" x14ac:dyDescent="0.35">
      <c r="A627" t="s">
        <v>159</v>
      </c>
      <c r="B627" t="str">
        <f>MID(A627,FIND(A628,A627)-20,8)</f>
        <v>Sejuani_</v>
      </c>
    </row>
    <row r="628" spans="1:2" x14ac:dyDescent="0.35">
      <c r="A628" t="s">
        <v>134</v>
      </c>
    </row>
    <row r="629" spans="1:2" x14ac:dyDescent="0.35">
      <c r="A629">
        <v>1150</v>
      </c>
    </row>
    <row r="631" spans="1:2" x14ac:dyDescent="0.35">
      <c r="A631" t="s">
        <v>159</v>
      </c>
      <c r="B631" t="str">
        <f>MID(A631,FIND(A632,A631)-20,8)</f>
        <v>5_Nunu_2</v>
      </c>
    </row>
    <row r="632" spans="1:2" x14ac:dyDescent="0.35">
      <c r="A632" t="s">
        <v>155</v>
      </c>
    </row>
    <row r="633" spans="1:2" x14ac:dyDescent="0.35">
      <c r="A633">
        <v>2320</v>
      </c>
    </row>
    <row r="635" spans="1:2" x14ac:dyDescent="0.35">
      <c r="A635" t="s">
        <v>159</v>
      </c>
      <c r="B635" t="str">
        <f>MID(A635,FIND(A636,A635)-20,8)</f>
        <v>"TestCub</v>
      </c>
    </row>
    <row r="636" spans="1:2" x14ac:dyDescent="0.35">
      <c r="A636" t="s">
        <v>139</v>
      </c>
    </row>
    <row r="637" spans="1:2" x14ac:dyDescent="0.35">
      <c r="A637">
        <v>100</v>
      </c>
    </row>
    <row r="639" spans="1:2" x14ac:dyDescent="0.35">
      <c r="A639" t="s">
        <v>159</v>
      </c>
      <c r="B639" t="str">
        <f>MID(A639,FIND(A640,A639)-20,8)</f>
        <v>"TestCub</v>
      </c>
    </row>
    <row r="640" spans="1:2" x14ac:dyDescent="0.35">
      <c r="A640" t="s">
        <v>139</v>
      </c>
    </row>
    <row r="641" spans="1:2" x14ac:dyDescent="0.35">
      <c r="A641">
        <v>100</v>
      </c>
    </row>
    <row r="643" spans="1:2" x14ac:dyDescent="0.35">
      <c r="A643" t="s">
        <v>159</v>
      </c>
      <c r="B643" t="str">
        <f>MID(A643,FIND(A644,A643)-20,8)</f>
        <v>"TestCub</v>
      </c>
    </row>
    <row r="644" spans="1:2" x14ac:dyDescent="0.35">
      <c r="A644" t="s">
        <v>139</v>
      </c>
    </row>
    <row r="645" spans="1:2" x14ac:dyDescent="0.35">
      <c r="A645">
        <v>100</v>
      </c>
    </row>
    <row r="647" spans="1:2" x14ac:dyDescent="0.35">
      <c r="A647" t="s">
        <v>159</v>
      </c>
      <c r="B647" t="str">
        <f>MID(A647,FIND(A648,A647)-20,8)</f>
        <v>T5_Nunu_</v>
      </c>
    </row>
    <row r="648" spans="1:2" x14ac:dyDescent="0.35">
      <c r="A648" t="s">
        <v>157</v>
      </c>
    </row>
    <row r="649" spans="1:2" x14ac:dyDescent="0.35">
      <c r="A649">
        <v>1450</v>
      </c>
    </row>
    <row r="651" spans="1:2" x14ac:dyDescent="0.35">
      <c r="A651" t="s">
        <v>159</v>
      </c>
      <c r="B651" t="str">
        <f>MID(A651,FIND(A652,A651)-20,8)</f>
        <v>T5_Nunu_</v>
      </c>
    </row>
    <row r="652" spans="1:2" x14ac:dyDescent="0.35">
      <c r="A652" t="s">
        <v>160</v>
      </c>
    </row>
    <row r="653" spans="1:2" x14ac:dyDescent="0.35">
      <c r="A653">
        <v>2300</v>
      </c>
    </row>
    <row r="655" spans="1:2" x14ac:dyDescent="0.35">
      <c r="A655" t="s">
        <v>159</v>
      </c>
      <c r="B655" t="str">
        <f>MID(A655,FIND(A656,A655)-20,8)</f>
        <v>Sejuani_</v>
      </c>
    </row>
    <row r="656" spans="1:2" x14ac:dyDescent="0.35">
      <c r="A656" t="s">
        <v>134</v>
      </c>
    </row>
    <row r="657" spans="1:2" x14ac:dyDescent="0.35">
      <c r="A657">
        <v>1150</v>
      </c>
    </row>
    <row r="659" spans="1:2" x14ac:dyDescent="0.35">
      <c r="A659" t="s">
        <v>159</v>
      </c>
      <c r="B659" t="str">
        <f>MID(A659,FIND(A660,A659)-20,8)</f>
        <v>5_Nunu_2</v>
      </c>
    </row>
    <row r="660" spans="1:2" x14ac:dyDescent="0.35">
      <c r="A660" t="s">
        <v>155</v>
      </c>
    </row>
    <row r="661" spans="1:2" x14ac:dyDescent="0.35">
      <c r="A661">
        <v>2320</v>
      </c>
    </row>
    <row r="663" spans="1:2" x14ac:dyDescent="0.35">
      <c r="A663" t="s">
        <v>161</v>
      </c>
      <c r="B663" t="str">
        <f>MID(A663,FIND(A664,A663)-20,8)</f>
        <v>T5_Nunu_</v>
      </c>
    </row>
    <row r="664" spans="1:2" x14ac:dyDescent="0.35">
      <c r="A664" t="s">
        <v>157</v>
      </c>
    </row>
    <row r="665" spans="1:2" x14ac:dyDescent="0.35">
      <c r="A665">
        <v>1450</v>
      </c>
    </row>
    <row r="667" spans="1:2" x14ac:dyDescent="0.35">
      <c r="A667" t="s">
        <v>161</v>
      </c>
      <c r="B667" t="str">
        <f>MID(A667,FIND(A668,A667)-20,8)</f>
        <v>T5_Nunu_</v>
      </c>
    </row>
    <row r="668" spans="1:2" x14ac:dyDescent="0.35">
      <c r="A668" t="s">
        <v>160</v>
      </c>
    </row>
    <row r="669" spans="1:2" x14ac:dyDescent="0.35">
      <c r="A669">
        <v>2300</v>
      </c>
    </row>
    <row r="671" spans="1:2" x14ac:dyDescent="0.35">
      <c r="A671" t="s">
        <v>161</v>
      </c>
      <c r="B671" t="str">
        <f>MID(A671,FIND(A672,A671)-20,8)</f>
        <v>ejuani_1</v>
      </c>
    </row>
    <row r="672" spans="1:2" x14ac:dyDescent="0.35">
      <c r="A672" t="s">
        <v>134</v>
      </c>
    </row>
    <row r="673" spans="1:2" x14ac:dyDescent="0.35">
      <c r="A673">
        <v>1150</v>
      </c>
    </row>
    <row r="675" spans="1:2" x14ac:dyDescent="0.35">
      <c r="A675" t="s">
        <v>161</v>
      </c>
      <c r="B675" t="str">
        <f>MID(A675,FIND(A676,A675)-20,8)</f>
        <v>5_Nunu_2</v>
      </c>
    </row>
    <row r="676" spans="1:2" x14ac:dyDescent="0.35">
      <c r="A676" t="s">
        <v>155</v>
      </c>
    </row>
    <row r="677" spans="1:2" x14ac:dyDescent="0.35">
      <c r="A677">
        <v>2320</v>
      </c>
    </row>
    <row r="679" spans="1:2" x14ac:dyDescent="0.35">
      <c r="A679" t="s">
        <v>161</v>
      </c>
      <c r="B679" t="str">
        <f>MID(A679,FIND(A680,A679)-20,8)</f>
        <v>"TestCub</v>
      </c>
    </row>
    <row r="680" spans="1:2" x14ac:dyDescent="0.35">
      <c r="A680" t="s">
        <v>139</v>
      </c>
    </row>
    <row r="681" spans="1:2" x14ac:dyDescent="0.35">
      <c r="A681">
        <v>100</v>
      </c>
    </row>
    <row r="683" spans="1:2" x14ac:dyDescent="0.35">
      <c r="A683" t="s">
        <v>161</v>
      </c>
      <c r="B683" t="str">
        <f>MID(A683,FIND(A684,A683)-18,6)</f>
        <v>estCub</v>
      </c>
    </row>
    <row r="684" spans="1:2" x14ac:dyDescent="0.35">
      <c r="A684" t="s">
        <v>139</v>
      </c>
    </row>
    <row r="685" spans="1:2" x14ac:dyDescent="0.35">
      <c r="A685">
        <v>100</v>
      </c>
    </row>
    <row r="687" spans="1:2" x14ac:dyDescent="0.35">
      <c r="A687" t="s">
        <v>162</v>
      </c>
      <c r="B687" t="str">
        <f>MID(A687,FIND(A688,A687)-18,6)</f>
        <v>_Nunu_</v>
      </c>
    </row>
    <row r="688" spans="1:2" x14ac:dyDescent="0.35">
      <c r="A688" t="s">
        <v>157</v>
      </c>
    </row>
    <row r="689" spans="1:2" x14ac:dyDescent="0.35">
      <c r="A689">
        <v>1450</v>
      </c>
    </row>
    <row r="691" spans="1:2" x14ac:dyDescent="0.35">
      <c r="A691" t="s">
        <v>162</v>
      </c>
      <c r="B691" t="str">
        <f>MID(A691,FIND(A692,A691)-18,6)</f>
        <v>Nunu_1</v>
      </c>
    </row>
    <row r="692" spans="1:2" x14ac:dyDescent="0.35">
      <c r="A692" t="s">
        <v>160</v>
      </c>
    </row>
    <row r="693" spans="1:2" x14ac:dyDescent="0.35">
      <c r="A693">
        <v>2300</v>
      </c>
    </row>
    <row r="695" spans="1:2" x14ac:dyDescent="0.35">
      <c r="A695" t="s">
        <v>162</v>
      </c>
      <c r="B695" t="str">
        <f>MID(A695,FIND(A696,A695)-20,6)</f>
        <v>ejuani</v>
      </c>
    </row>
    <row r="696" spans="1:2" x14ac:dyDescent="0.35">
      <c r="A696" t="s">
        <v>134</v>
      </c>
    </row>
    <row r="697" spans="1:2" x14ac:dyDescent="0.35">
      <c r="A697">
        <v>1150</v>
      </c>
    </row>
    <row r="699" spans="1:2" x14ac:dyDescent="0.35">
      <c r="A699" t="s">
        <v>162</v>
      </c>
      <c r="B699" t="str">
        <f>MID(A699,FIND(A700,A699)-18,6)</f>
        <v>Nunu_2</v>
      </c>
    </row>
    <row r="700" spans="1:2" x14ac:dyDescent="0.35">
      <c r="A700" t="s">
        <v>155</v>
      </c>
    </row>
    <row r="701" spans="1:2" x14ac:dyDescent="0.35">
      <c r="A701">
        <v>2320</v>
      </c>
    </row>
    <row r="703" spans="1:2" x14ac:dyDescent="0.35">
      <c r="A703" t="s">
        <v>163</v>
      </c>
      <c r="B703" t="str">
        <f>MID(A703,FIND(A704,A703)-18,6)</f>
        <v>_Nunu_</v>
      </c>
    </row>
    <row r="704" spans="1:2" x14ac:dyDescent="0.35">
      <c r="A704" t="s">
        <v>157</v>
      </c>
    </row>
    <row r="705" spans="1:2" x14ac:dyDescent="0.35">
      <c r="A705">
        <v>1450</v>
      </c>
    </row>
    <row r="707" spans="1:2" x14ac:dyDescent="0.35">
      <c r="A707" t="s">
        <v>163</v>
      </c>
      <c r="B707" t="str">
        <f>MID(A707,FIND(A708,A707)-18,6)</f>
        <v>Nunu_1</v>
      </c>
    </row>
    <row r="708" spans="1:2" x14ac:dyDescent="0.35">
      <c r="A708" t="s">
        <v>164</v>
      </c>
    </row>
    <row r="709" spans="1:2" x14ac:dyDescent="0.35">
      <c r="A709">
        <v>2450</v>
      </c>
    </row>
    <row r="711" spans="1:2" x14ac:dyDescent="0.35">
      <c r="A711" t="s">
        <v>163</v>
      </c>
      <c r="B711" t="str">
        <f>MID(A711,FIND(A712,A711)-18,6)</f>
        <v>Nunu_2</v>
      </c>
    </row>
    <row r="712" spans="1:2" x14ac:dyDescent="0.35">
      <c r="A712" t="s">
        <v>155</v>
      </c>
    </row>
    <row r="713" spans="1:2" x14ac:dyDescent="0.35">
      <c r="A713">
        <v>2320</v>
      </c>
    </row>
    <row r="715" spans="1:2" x14ac:dyDescent="0.35">
      <c r="A715" t="s">
        <v>163</v>
      </c>
      <c r="B715" t="str">
        <f>MID(A715,FIND(A716,A715)-18,6)</f>
        <v>_Nunu_</v>
      </c>
    </row>
    <row r="716" spans="1:2" x14ac:dyDescent="0.35">
      <c r="A716" t="s">
        <v>157</v>
      </c>
    </row>
    <row r="717" spans="1:2" x14ac:dyDescent="0.35">
      <c r="A717">
        <v>1450</v>
      </c>
    </row>
    <row r="719" spans="1:2" x14ac:dyDescent="0.35">
      <c r="A719" t="s">
        <v>163</v>
      </c>
      <c r="B719" t="str">
        <f>MID(A719,FIND(A720,A719)-18,6)</f>
        <v>Nunu_1</v>
      </c>
    </row>
    <row r="720" spans="1:2" x14ac:dyDescent="0.35">
      <c r="A720" t="s">
        <v>164</v>
      </c>
    </row>
    <row r="721" spans="1:2" x14ac:dyDescent="0.35">
      <c r="A721">
        <v>2450</v>
      </c>
    </row>
    <row r="723" spans="1:2" x14ac:dyDescent="0.35">
      <c r="A723" t="s">
        <v>163</v>
      </c>
      <c r="B723" t="str">
        <f>MID(A723,FIND(A724,A723)-18,6)</f>
        <v>Nunu_2</v>
      </c>
    </row>
    <row r="724" spans="1:2" x14ac:dyDescent="0.35">
      <c r="A724" t="s">
        <v>155</v>
      </c>
    </row>
    <row r="725" spans="1:2" x14ac:dyDescent="0.35">
      <c r="A725">
        <v>2320</v>
      </c>
    </row>
    <row r="727" spans="1:2" x14ac:dyDescent="0.35">
      <c r="A727" t="s">
        <v>163</v>
      </c>
      <c r="B727" t="str">
        <f>MID(A727,FIND(A728,A727)-18,6)</f>
        <v>_Nunu_</v>
      </c>
    </row>
    <row r="728" spans="1:2" x14ac:dyDescent="0.35">
      <c r="A728" t="s">
        <v>157</v>
      </c>
    </row>
    <row r="729" spans="1:2" x14ac:dyDescent="0.35">
      <c r="A729">
        <v>1450</v>
      </c>
    </row>
    <row r="731" spans="1:2" x14ac:dyDescent="0.35">
      <c r="A731" t="s">
        <v>163</v>
      </c>
      <c r="B731" t="str">
        <f>MID(A731,FIND(A732,A731)-18,6)</f>
        <v>Nunu_1</v>
      </c>
    </row>
    <row r="732" spans="1:2" x14ac:dyDescent="0.35">
      <c r="A732" t="s">
        <v>164</v>
      </c>
    </row>
    <row r="733" spans="1:2" x14ac:dyDescent="0.35">
      <c r="A733">
        <v>2450</v>
      </c>
    </row>
    <row r="735" spans="1:2" x14ac:dyDescent="0.35">
      <c r="A735" t="s">
        <v>163</v>
      </c>
      <c r="B735" t="str">
        <f>MID(A735,FIND(A736,A735)-18,6)</f>
        <v>Nunu_2</v>
      </c>
    </row>
    <row r="736" spans="1:2" x14ac:dyDescent="0.35">
      <c r="A736" t="s">
        <v>155</v>
      </c>
    </row>
    <row r="737" spans="1:2" x14ac:dyDescent="0.35">
      <c r="A737">
        <v>2320</v>
      </c>
    </row>
    <row r="739" spans="1:2" x14ac:dyDescent="0.35">
      <c r="A739" t="s">
        <v>163</v>
      </c>
      <c r="B739" t="str">
        <f>MID(A739,FIND(A740,A739)-18,6)</f>
        <v>_Nunu_</v>
      </c>
    </row>
    <row r="740" spans="1:2" x14ac:dyDescent="0.35">
      <c r="A740" t="s">
        <v>157</v>
      </c>
    </row>
    <row r="741" spans="1:2" x14ac:dyDescent="0.35">
      <c r="A741">
        <v>1450</v>
      </c>
    </row>
    <row r="743" spans="1:2" x14ac:dyDescent="0.35">
      <c r="A743" t="s">
        <v>163</v>
      </c>
      <c r="B743" t="str">
        <f>MID(A743,FIND(A744,A743)-18,6)</f>
        <v>Nunu_1</v>
      </c>
    </row>
    <row r="744" spans="1:2" x14ac:dyDescent="0.35">
      <c r="A744" t="s">
        <v>164</v>
      </c>
    </row>
    <row r="745" spans="1:2" x14ac:dyDescent="0.35">
      <c r="A745">
        <v>2450</v>
      </c>
    </row>
    <row r="747" spans="1:2" x14ac:dyDescent="0.35">
      <c r="A747" t="s">
        <v>163</v>
      </c>
      <c r="B747" t="str">
        <f>MID(A747,FIND(A748,A747)-18,6)</f>
        <v>Nunu_2</v>
      </c>
    </row>
    <row r="748" spans="1:2" x14ac:dyDescent="0.35">
      <c r="A748" t="s">
        <v>155</v>
      </c>
    </row>
    <row r="749" spans="1:2" x14ac:dyDescent="0.35">
      <c r="A749">
        <v>2320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8D8E5-30D3-4B9E-856E-BBD506BD7B86}">
  <sheetPr codeName="Sheet10"/>
  <dimension ref="A1:D106"/>
  <sheetViews>
    <sheetView topLeftCell="A47" workbookViewId="0">
      <selection activeCell="B25" sqref="B25"/>
    </sheetView>
  </sheetViews>
  <sheetFormatPr defaultRowHeight="14.5" x14ac:dyDescent="0.35"/>
  <sheetData>
    <row r="1" spans="1:4" x14ac:dyDescent="0.35">
      <c r="A1" t="s">
        <v>166</v>
      </c>
      <c r="C1" t="s">
        <v>131</v>
      </c>
    </row>
    <row r="3" spans="1:4" x14ac:dyDescent="0.35">
      <c r="A3" t="s">
        <v>213</v>
      </c>
      <c r="C3" t="s">
        <v>167</v>
      </c>
      <c r="D3" t="s">
        <v>169</v>
      </c>
    </row>
    <row r="4" spans="1:4" x14ac:dyDescent="0.35">
      <c r="A4" t="s">
        <v>214</v>
      </c>
      <c r="C4" t="s">
        <v>168</v>
      </c>
    </row>
    <row r="5" spans="1:4" x14ac:dyDescent="0.35">
      <c r="A5">
        <v>99</v>
      </c>
    </row>
    <row r="6" spans="1:4" x14ac:dyDescent="0.35">
      <c r="C6" t="s">
        <v>170</v>
      </c>
    </row>
    <row r="7" spans="1:4" x14ac:dyDescent="0.35">
      <c r="A7" t="s">
        <v>241</v>
      </c>
      <c r="C7" t="s">
        <v>171</v>
      </c>
    </row>
    <row r="8" spans="1:4" x14ac:dyDescent="0.35">
      <c r="A8" t="s">
        <v>242</v>
      </c>
    </row>
    <row r="9" spans="1:4" x14ac:dyDescent="0.35">
      <c r="A9">
        <v>939</v>
      </c>
      <c r="C9" t="s">
        <v>172</v>
      </c>
      <c r="D9" t="s">
        <v>244</v>
      </c>
    </row>
    <row r="10" spans="1:4" x14ac:dyDescent="0.35">
      <c r="C10" t="s">
        <v>173</v>
      </c>
    </row>
    <row r="12" spans="1:4" x14ac:dyDescent="0.35">
      <c r="C12" t="s">
        <v>167</v>
      </c>
    </row>
    <row r="13" spans="1:4" x14ac:dyDescent="0.35">
      <c r="C13" t="s">
        <v>168</v>
      </c>
    </row>
    <row r="15" spans="1:4" x14ac:dyDescent="0.35">
      <c r="C15" t="s">
        <v>174</v>
      </c>
    </row>
    <row r="16" spans="1:4" x14ac:dyDescent="0.35">
      <c r="C16" t="s">
        <v>8</v>
      </c>
    </row>
    <row r="18" spans="3:3" x14ac:dyDescent="0.35">
      <c r="C18" t="s">
        <v>175</v>
      </c>
    </row>
    <row r="19" spans="3:3" x14ac:dyDescent="0.35">
      <c r="C19" t="s">
        <v>176</v>
      </c>
    </row>
    <row r="21" spans="3:3" x14ac:dyDescent="0.35">
      <c r="C21" t="s">
        <v>177</v>
      </c>
    </row>
    <row r="22" spans="3:3" x14ac:dyDescent="0.35">
      <c r="C22" t="s">
        <v>178</v>
      </c>
    </row>
    <row r="24" spans="3:3" x14ac:dyDescent="0.35">
      <c r="C24" t="s">
        <v>179</v>
      </c>
    </row>
    <row r="25" spans="3:3" x14ac:dyDescent="0.35">
      <c r="C25" t="s">
        <v>180</v>
      </c>
    </row>
    <row r="27" spans="3:3" x14ac:dyDescent="0.35">
      <c r="C27" t="s">
        <v>179</v>
      </c>
    </row>
    <row r="28" spans="3:3" x14ac:dyDescent="0.35">
      <c r="C28" t="s">
        <v>11</v>
      </c>
    </row>
    <row r="30" spans="3:3" x14ac:dyDescent="0.35">
      <c r="C30" t="s">
        <v>181</v>
      </c>
    </row>
    <row r="31" spans="3:3" x14ac:dyDescent="0.35">
      <c r="C31" t="s">
        <v>182</v>
      </c>
    </row>
    <row r="33" spans="1:4" x14ac:dyDescent="0.35">
      <c r="A33" s="2"/>
      <c r="B33" s="2"/>
      <c r="C33" s="2" t="s">
        <v>183</v>
      </c>
      <c r="D33" s="2"/>
    </row>
    <row r="34" spans="1:4" x14ac:dyDescent="0.35">
      <c r="A34" s="2"/>
      <c r="B34" s="2"/>
      <c r="C34" s="2" t="s">
        <v>184</v>
      </c>
      <c r="D34" s="2"/>
    </row>
    <row r="35" spans="1:4" x14ac:dyDescent="0.35">
      <c r="A35" s="2"/>
      <c r="B35" s="2"/>
      <c r="C35" s="2"/>
      <c r="D35" s="2"/>
    </row>
    <row r="36" spans="1:4" x14ac:dyDescent="0.35">
      <c r="A36" s="2"/>
      <c r="B36" s="2"/>
      <c r="C36" s="2" t="s">
        <v>185</v>
      </c>
      <c r="D36" s="2"/>
    </row>
    <row r="37" spans="1:4" x14ac:dyDescent="0.35">
      <c r="A37" s="2"/>
      <c r="B37" s="2"/>
      <c r="C37" s="2" t="s">
        <v>186</v>
      </c>
      <c r="D37" s="2"/>
    </row>
    <row r="38" spans="1:4" x14ac:dyDescent="0.35">
      <c r="A38" s="2"/>
      <c r="B38" s="2"/>
      <c r="C38" s="2"/>
      <c r="D38" s="2"/>
    </row>
    <row r="39" spans="1:4" x14ac:dyDescent="0.35">
      <c r="A39" s="2"/>
      <c r="B39" s="2"/>
      <c r="C39" s="2" t="s">
        <v>187</v>
      </c>
      <c r="D39" s="2"/>
    </row>
    <row r="40" spans="1:4" x14ac:dyDescent="0.35">
      <c r="A40" s="2"/>
      <c r="B40" s="2"/>
      <c r="C40" s="2" t="s">
        <v>188</v>
      </c>
      <c r="D40" s="2"/>
    </row>
    <row r="41" spans="1:4" x14ac:dyDescent="0.35">
      <c r="A41" s="2"/>
      <c r="B41" s="2"/>
      <c r="C41" s="2"/>
      <c r="D41" s="2"/>
    </row>
    <row r="42" spans="1:4" x14ac:dyDescent="0.35">
      <c r="B42" s="2"/>
      <c r="C42" s="2" t="s">
        <v>189</v>
      </c>
      <c r="D42" s="2"/>
    </row>
    <row r="43" spans="1:4" x14ac:dyDescent="0.35">
      <c r="C43" t="s">
        <v>190</v>
      </c>
    </row>
    <row r="45" spans="1:4" x14ac:dyDescent="0.35">
      <c r="C45" t="s">
        <v>191</v>
      </c>
    </row>
    <row r="46" spans="1:4" x14ac:dyDescent="0.35">
      <c r="C46" t="s">
        <v>192</v>
      </c>
    </row>
    <row r="48" spans="1:4" x14ac:dyDescent="0.35">
      <c r="C48" t="s">
        <v>193</v>
      </c>
    </row>
    <row r="49" spans="3:4" x14ac:dyDescent="0.35">
      <c r="C49" t="s">
        <v>194</v>
      </c>
    </row>
    <row r="51" spans="3:4" x14ac:dyDescent="0.35">
      <c r="C51" t="s">
        <v>195</v>
      </c>
      <c r="D51" t="s">
        <v>197</v>
      </c>
    </row>
    <row r="52" spans="3:4" x14ac:dyDescent="0.35">
      <c r="C52" t="s">
        <v>196</v>
      </c>
    </row>
    <row r="54" spans="3:4" x14ac:dyDescent="0.35">
      <c r="C54" t="s">
        <v>198</v>
      </c>
    </row>
    <row r="55" spans="3:4" x14ac:dyDescent="0.35">
      <c r="C55" t="s">
        <v>199</v>
      </c>
    </row>
    <row r="57" spans="3:4" x14ac:dyDescent="0.35">
      <c r="C57" t="s">
        <v>200</v>
      </c>
    </row>
    <row r="58" spans="3:4" x14ac:dyDescent="0.35">
      <c r="C58" t="s">
        <v>201</v>
      </c>
    </row>
    <row r="60" spans="3:4" x14ac:dyDescent="0.35">
      <c r="C60" t="s">
        <v>203</v>
      </c>
    </row>
    <row r="61" spans="3:4" x14ac:dyDescent="0.35">
      <c r="C61" t="s">
        <v>202</v>
      </c>
    </row>
    <row r="63" spans="3:4" x14ac:dyDescent="0.35">
      <c r="C63" t="s">
        <v>204</v>
      </c>
    </row>
    <row r="64" spans="3:4" x14ac:dyDescent="0.35">
      <c r="C64" t="s">
        <v>205</v>
      </c>
    </row>
    <row r="66" spans="3:4" x14ac:dyDescent="0.35">
      <c r="C66" t="s">
        <v>207</v>
      </c>
      <c r="D66" t="s">
        <v>208</v>
      </c>
    </row>
    <row r="67" spans="3:4" x14ac:dyDescent="0.35">
      <c r="C67" t="s">
        <v>206</v>
      </c>
    </row>
    <row r="69" spans="3:4" x14ac:dyDescent="0.35">
      <c r="C69" t="s">
        <v>209</v>
      </c>
    </row>
    <row r="70" spans="3:4" x14ac:dyDescent="0.35">
      <c r="C70" t="s">
        <v>210</v>
      </c>
    </row>
    <row r="72" spans="3:4" x14ac:dyDescent="0.35">
      <c r="C72" t="s">
        <v>211</v>
      </c>
    </row>
    <row r="73" spans="3:4" x14ac:dyDescent="0.35">
      <c r="C73" t="s">
        <v>212</v>
      </c>
    </row>
    <row r="75" spans="3:4" x14ac:dyDescent="0.35">
      <c r="C75" t="s">
        <v>215</v>
      </c>
    </row>
    <row r="76" spans="3:4" x14ac:dyDescent="0.35">
      <c r="C76" t="s">
        <v>216</v>
      </c>
    </row>
    <row r="78" spans="3:4" x14ac:dyDescent="0.35">
      <c r="C78" t="s">
        <v>218</v>
      </c>
    </row>
    <row r="79" spans="3:4" x14ac:dyDescent="0.35">
      <c r="C79" t="s">
        <v>217</v>
      </c>
    </row>
    <row r="81" spans="3:4" x14ac:dyDescent="0.35">
      <c r="C81" t="s">
        <v>220</v>
      </c>
      <c r="D81" t="s">
        <v>221</v>
      </c>
    </row>
    <row r="82" spans="3:4" x14ac:dyDescent="0.35">
      <c r="C82" t="s">
        <v>219</v>
      </c>
    </row>
    <row r="84" spans="3:4" x14ac:dyDescent="0.35">
      <c r="C84" t="s">
        <v>222</v>
      </c>
    </row>
    <row r="85" spans="3:4" x14ac:dyDescent="0.35">
      <c r="C85" t="s">
        <v>223</v>
      </c>
    </row>
    <row r="87" spans="3:4" x14ac:dyDescent="0.35">
      <c r="C87" t="s">
        <v>224</v>
      </c>
      <c r="D87" t="s">
        <v>221</v>
      </c>
    </row>
    <row r="88" spans="3:4" x14ac:dyDescent="0.35">
      <c r="C88" t="s">
        <v>225</v>
      </c>
    </row>
    <row r="90" spans="3:4" x14ac:dyDescent="0.35">
      <c r="C90" t="s">
        <v>226</v>
      </c>
    </row>
    <row r="91" spans="3:4" x14ac:dyDescent="0.35">
      <c r="C91" t="s">
        <v>227</v>
      </c>
    </row>
    <row r="93" spans="3:4" x14ac:dyDescent="0.35">
      <c r="C93" t="s">
        <v>228</v>
      </c>
      <c r="D93" t="s">
        <v>221</v>
      </c>
    </row>
    <row r="94" spans="3:4" x14ac:dyDescent="0.35">
      <c r="C94" t="s">
        <v>229</v>
      </c>
    </row>
    <row r="96" spans="3:4" x14ac:dyDescent="0.35">
      <c r="C96" t="s">
        <v>230</v>
      </c>
    </row>
    <row r="97" spans="3:4" x14ac:dyDescent="0.35">
      <c r="C97" t="s">
        <v>231</v>
      </c>
    </row>
    <row r="99" spans="3:4" x14ac:dyDescent="0.35">
      <c r="C99" t="s">
        <v>232</v>
      </c>
      <c r="D99" t="s">
        <v>234</v>
      </c>
    </row>
    <row r="100" spans="3:4" x14ac:dyDescent="0.35">
      <c r="C100" t="s">
        <v>233</v>
      </c>
    </row>
    <row r="102" spans="3:4" x14ac:dyDescent="0.35">
      <c r="C102" t="s">
        <v>235</v>
      </c>
      <c r="D102" t="s">
        <v>237</v>
      </c>
    </row>
    <row r="103" spans="3:4" x14ac:dyDescent="0.35">
      <c r="C103" t="s">
        <v>236</v>
      </c>
    </row>
    <row r="105" spans="3:4" x14ac:dyDescent="0.35">
      <c r="C105" t="s">
        <v>238</v>
      </c>
      <c r="D105" t="s">
        <v>240</v>
      </c>
    </row>
    <row r="106" spans="3:4" x14ac:dyDescent="0.35">
      <c r="C106" t="s">
        <v>239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3B2EE-106F-42B9-9D00-C1FD76BD9C43}">
  <sheetPr codeName="Sheet11"/>
  <dimension ref="A1:D61"/>
  <sheetViews>
    <sheetView workbookViewId="0">
      <selection activeCell="B25" sqref="B25"/>
    </sheetView>
  </sheetViews>
  <sheetFormatPr defaultRowHeight="14.5" x14ac:dyDescent="0.35"/>
  <sheetData>
    <row r="1" spans="1:2" x14ac:dyDescent="0.35">
      <c r="A1" t="s">
        <v>131</v>
      </c>
    </row>
    <row r="3" spans="1:2" x14ac:dyDescent="0.35">
      <c r="A3" t="s">
        <v>167</v>
      </c>
      <c r="B3" t="s">
        <v>169</v>
      </c>
    </row>
    <row r="4" spans="1:2" x14ac:dyDescent="0.35">
      <c r="A4" t="s">
        <v>168</v>
      </c>
    </row>
    <row r="6" spans="1:2" x14ac:dyDescent="0.35">
      <c r="A6" t="s">
        <v>243</v>
      </c>
    </row>
    <row r="7" spans="1:2" x14ac:dyDescent="0.35">
      <c r="A7" t="s">
        <v>8</v>
      </c>
    </row>
    <row r="9" spans="1:2" x14ac:dyDescent="0.35">
      <c r="A9" t="s">
        <v>243</v>
      </c>
      <c r="B9" t="s">
        <v>244</v>
      </c>
    </row>
    <row r="10" spans="1:2" x14ac:dyDescent="0.35">
      <c r="A10" t="s">
        <v>0</v>
      </c>
    </row>
    <row r="12" spans="1:2" x14ac:dyDescent="0.35">
      <c r="A12" t="s">
        <v>245</v>
      </c>
    </row>
    <row r="13" spans="1:2" x14ac:dyDescent="0.35">
      <c r="A13" t="s">
        <v>252</v>
      </c>
    </row>
    <row r="15" spans="1:2" x14ac:dyDescent="0.35">
      <c r="A15" t="s">
        <v>246</v>
      </c>
    </row>
    <row r="16" spans="1:2" x14ac:dyDescent="0.35">
      <c r="A16" t="s">
        <v>254</v>
      </c>
    </row>
    <row r="18" spans="1:4" x14ac:dyDescent="0.35">
      <c r="A18" t="s">
        <v>248</v>
      </c>
    </row>
    <row r="19" spans="1:4" x14ac:dyDescent="0.35">
      <c r="A19" t="s">
        <v>255</v>
      </c>
    </row>
    <row r="21" spans="1:4" x14ac:dyDescent="0.35">
      <c r="A21" t="s">
        <v>249</v>
      </c>
    </row>
    <row r="22" spans="1:4" x14ac:dyDescent="0.35">
      <c r="A22" t="s">
        <v>253</v>
      </c>
    </row>
    <row r="24" spans="1:4" x14ac:dyDescent="0.35">
      <c r="A24" s="9" t="s">
        <v>250</v>
      </c>
      <c r="B24" s="9" t="s">
        <v>256</v>
      </c>
      <c r="C24" s="9" t="s">
        <v>251</v>
      </c>
      <c r="D24" s="9" t="s">
        <v>62</v>
      </c>
    </row>
    <row r="25" spans="1:4" x14ac:dyDescent="0.35">
      <c r="A25" t="s">
        <v>8</v>
      </c>
      <c r="D25" t="s">
        <v>56</v>
      </c>
    </row>
    <row r="26" spans="1:4" x14ac:dyDescent="0.35">
      <c r="D26" t="s">
        <v>49</v>
      </c>
    </row>
    <row r="27" spans="1:4" x14ac:dyDescent="0.35">
      <c r="A27" t="s">
        <v>167</v>
      </c>
      <c r="D27" t="s">
        <v>45</v>
      </c>
    </row>
    <row r="28" spans="1:4" x14ac:dyDescent="0.35">
      <c r="A28" t="s">
        <v>0</v>
      </c>
      <c r="D28" t="s">
        <v>43</v>
      </c>
    </row>
    <row r="30" spans="1:4" x14ac:dyDescent="0.35">
      <c r="A30" t="s">
        <v>167</v>
      </c>
    </row>
    <row r="31" spans="1:4" x14ac:dyDescent="0.35">
      <c r="A31" t="s">
        <v>0</v>
      </c>
    </row>
    <row r="33" spans="1:2" x14ac:dyDescent="0.35">
      <c r="A33" s="2" t="s">
        <v>257</v>
      </c>
      <c r="B33" s="2"/>
    </row>
    <row r="34" spans="1:2" x14ac:dyDescent="0.35">
      <c r="A34" s="2" t="s">
        <v>0</v>
      </c>
      <c r="B34" s="2"/>
    </row>
    <row r="35" spans="1:2" x14ac:dyDescent="0.35">
      <c r="A35" s="2"/>
      <c r="B35" s="2"/>
    </row>
    <row r="36" spans="1:2" x14ac:dyDescent="0.35">
      <c r="A36" s="2" t="s">
        <v>258</v>
      </c>
      <c r="B36" s="2"/>
    </row>
    <row r="37" spans="1:2" x14ac:dyDescent="0.35">
      <c r="A37" s="2" t="s">
        <v>259</v>
      </c>
      <c r="B37" s="2"/>
    </row>
    <row r="38" spans="1:2" x14ac:dyDescent="0.35">
      <c r="A38" s="2"/>
      <c r="B38" s="2"/>
    </row>
    <row r="39" spans="1:2" x14ac:dyDescent="0.35">
      <c r="A39" s="2" t="s">
        <v>258</v>
      </c>
      <c r="B39" s="2"/>
    </row>
    <row r="40" spans="1:2" x14ac:dyDescent="0.35">
      <c r="A40" s="2" t="s">
        <v>260</v>
      </c>
      <c r="B40" s="2"/>
    </row>
    <row r="41" spans="1:2" x14ac:dyDescent="0.35">
      <c r="A41" s="2"/>
      <c r="B41" s="2"/>
    </row>
    <row r="42" spans="1:2" x14ac:dyDescent="0.35">
      <c r="A42" s="2" t="s">
        <v>261</v>
      </c>
      <c r="B42" s="2"/>
    </row>
    <row r="43" spans="1:2" x14ac:dyDescent="0.35">
      <c r="A43" t="s">
        <v>262</v>
      </c>
    </row>
    <row r="45" spans="1:2" x14ac:dyDescent="0.35">
      <c r="A45" t="s">
        <v>263</v>
      </c>
    </row>
    <row r="46" spans="1:2" x14ac:dyDescent="0.35">
      <c r="A46" t="s">
        <v>8</v>
      </c>
    </row>
    <row r="48" spans="1:2" x14ac:dyDescent="0.35">
      <c r="A48" t="s">
        <v>261</v>
      </c>
    </row>
    <row r="49" spans="1:1" x14ac:dyDescent="0.35">
      <c r="A49" t="s">
        <v>0</v>
      </c>
    </row>
    <row r="51" spans="1:1" x14ac:dyDescent="0.35">
      <c r="A51" t="s">
        <v>264</v>
      </c>
    </row>
    <row r="52" spans="1:1" x14ac:dyDescent="0.35">
      <c r="A52" t="s">
        <v>0</v>
      </c>
    </row>
    <row r="54" spans="1:1" x14ac:dyDescent="0.35">
      <c r="A54" t="s">
        <v>265</v>
      </c>
    </row>
    <row r="55" spans="1:1" x14ac:dyDescent="0.35">
      <c r="A55" t="s">
        <v>266</v>
      </c>
    </row>
    <row r="57" spans="1:1" x14ac:dyDescent="0.35">
      <c r="A57" t="s">
        <v>265</v>
      </c>
    </row>
    <row r="58" spans="1:1" x14ac:dyDescent="0.35">
      <c r="A58" t="s">
        <v>267</v>
      </c>
    </row>
    <row r="60" spans="1:1" x14ac:dyDescent="0.35">
      <c r="A60" s="2" t="s">
        <v>314</v>
      </c>
    </row>
    <row r="61" spans="1:1" ht="409.5" x14ac:dyDescent="0.35">
      <c r="A61" s="11" t="s">
        <v>315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767B9B5-98A7-4DDD-B072-CD207349A3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AlphaChess</vt:lpstr>
      <vt:lpstr>posnow</vt:lpstr>
      <vt:lpstr>hp1</vt:lpstr>
      <vt:lpstr>hp3</vt:lpstr>
      <vt:lpstr>hp2</vt:lpstr>
      <vt:lpstr>c5id</vt:lpstr>
      <vt:lpstr>onhand</vt:lpstr>
      <vt:lpstr>Play</vt:lpstr>
      <vt:lpstr>crl</vt:lpstr>
      <vt:lpstr>cinfo</vt:lpstr>
      <vt:lpstr>cpl</vt:lpstr>
      <vt:lpstr>tinfo</vt:lpstr>
      <vt:lpstr>cal</vt:lpstr>
      <vt:lpstr>10088sample</vt:lpstr>
      <vt:lpstr>instr sample</vt:lpstr>
      <vt:lpstr>10088sample2</vt:lpstr>
      <vt:lpstr>log210801</vt:lpstr>
      <vt:lpstr>log210802</vt:lpstr>
      <vt:lpstr>log2108022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Yitao Lin</dc:creator>
  <cp:lastModifiedBy>Yitao Lin</cp:lastModifiedBy>
  <dcterms:created xsi:type="dcterms:W3CDTF">2015-06-05T18:17:20Z</dcterms:created>
  <dcterms:modified xsi:type="dcterms:W3CDTF">2024-12-25T13:07:50Z</dcterms:modified>
</cp:coreProperties>
</file>